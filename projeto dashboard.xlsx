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nFi\OneDrive\Documentos\Adrielly\"/>
    </mc:Choice>
  </mc:AlternateContent>
  <xr:revisionPtr revIDLastSave="0" documentId="13_ncr:1_{06BB83D9-C231-4150-92DB-342C47AC20B5}" xr6:coauthVersionLast="47" xr6:coauthVersionMax="47" xr10:uidLastSave="{00000000-0000-0000-0000-000000000000}"/>
  <bookViews>
    <workbookView xWindow="-120" yWindow="-120" windowWidth="20730" windowHeight="1116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E17" i="3"/>
</calcChain>
</file>

<file path=xl/sharedStrings.xml><?xml version="1.0" encoding="utf-8"?>
<sst xmlns="http://schemas.openxmlformats.org/spreadsheetml/2006/main" count="2028" uniqueCount="322">
  <si>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</si>
  <si>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</si>
  <si>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</si>
  <si>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</si>
  <si>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</si>
  <si>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</si>
  <si>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</si>
  <si>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</si>
  <si>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</si>
  <si>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</si>
  <si>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</si>
  <si>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</si>
  <si>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</si>
  <si>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</si>
  <si>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</si>
  <si>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</si>
  <si>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</si>
  <si>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</si>
  <si>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</si>
  <si>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</si>
  <si>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</si>
  <si>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</si>
  <si>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</si>
  <si>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</si>
  <si>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</si>
  <si>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</si>
  <si>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</si>
  <si>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</si>
  <si>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</si>
  <si>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</si>
  <si>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</si>
  <si>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</si>
  <si>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</si>
  <si>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</si>
  <si>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</si>
  <si>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</si>
  <si>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</si>
  <si>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</si>
  <si>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</si>
  <si>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</si>
  <si>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</si>
  <si>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</si>
  <si>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</si>
  <si>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</si>
  <si>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</si>
  <si>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</si>
  <si>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</si>
  <si>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</si>
  <si>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</si>
  <si>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</si>
  <si>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</si>
  <si>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</si>
  <si>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</si>
  <si>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</si>
  <si>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</si>
  <si>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</si>
  <si>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</si>
  <si>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</si>
  <si>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</si>
  <si>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</si>
  <si>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</si>
  <si>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</si>
  <si>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</si>
  <si>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</si>
  <si>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</si>
  <si>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</si>
  <si>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</si>
  <si>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</si>
  <si>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</si>
  <si>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</si>
  <si>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</si>
  <si>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</si>
  <si>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</si>
  <si>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</si>
  <si>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</si>
  <si>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</si>
  <si>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</si>
  <si>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</si>
  <si>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</si>
  <si>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</si>
  <si>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</si>
  <si>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</si>
  <si>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</si>
  <si>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</si>
  <si>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</si>
  <si>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</si>
  <si>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</si>
  <si>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</si>
  <si>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</si>
  <si>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</si>
  <si>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</si>
  <si>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</si>
  <si>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</si>
  <si>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</si>
  <si>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</si>
  <si>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</si>
  <si>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</si>
  <si>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</si>
  <si>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</si>
  <si>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</si>
  <si>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</si>
  <si>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</si>
  <si>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</si>
  <si>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</si>
  <si>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</si>
  <si>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</si>
  <si>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</si>
  <si>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</si>
  <si>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</si>
  <si>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</si>
  <si>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</si>
  <si>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</si>
  <si>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</si>
  <si>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</si>
  <si>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</si>
  <si>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</si>
  <si>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</si>
  <si>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</si>
  <si>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</si>
  <si>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</si>
  <si>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</si>
  <si>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</si>
  <si>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</si>
  <si>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</si>
  <si>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</si>
  <si>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</si>
  <si>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</si>
  <si>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</si>
  <si>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</si>
  <si>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</si>
  <si>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</si>
  <si>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</si>
  <si>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</si>
  <si>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</si>
  <si>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</si>
  <si>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</si>
  <si>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</si>
  <si>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</si>
  <si>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</si>
  <si>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</si>
  <si>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</si>
  <si>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</si>
  <si>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</si>
  <si>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</si>
  <si>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</si>
  <si>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</si>
  <si>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</si>
  <si>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</si>
  <si>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</si>
  <si>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</si>
  <si>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</si>
  <si>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</si>
  <si>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</si>
  <si>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</si>
  <si>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</si>
  <si>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</si>
  <si>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</si>
  <si>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</si>
  <si>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</si>
  <si>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</si>
  <si>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</si>
  <si>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</si>
  <si>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</si>
  <si>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</si>
  <si>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</si>
  <si>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</si>
  <si>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</si>
  <si>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</si>
  <si>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</si>
  <si>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</si>
  <si>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</si>
  <si>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</si>
  <si>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</si>
  <si>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</si>
  <si>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</si>
  <si>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</si>
  <si>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</si>
  <si>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</si>
  <si>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</si>
  <si>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</si>
  <si>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</si>
  <si>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</si>
  <si>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</si>
  <si>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</si>
  <si>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</si>
  <si>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</si>
  <si>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</si>
  <si>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</si>
  <si>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</si>
  <si>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</si>
  <si>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</si>
  <si>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</si>
  <si>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</si>
  <si>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</si>
  <si>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</si>
  <si>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</si>
  <si>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</si>
  <si>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</si>
  <si>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</si>
  <si>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</si>
  <si>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</si>
  <si>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</si>
  <si>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</si>
  <si>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</si>
  <si>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</si>
  <si>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</si>
  <si>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</si>
  <si>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</si>
  <si>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</si>
  <si>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</si>
  <si>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</si>
  <si>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</si>
  <si>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</si>
  <si>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</si>
  <si>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</si>
  <si>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</si>
  <si>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</si>
  <si>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</si>
  <si>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</si>
  <si>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</si>
  <si>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</si>
  <si>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</si>
  <si>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</si>
  <si>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</si>
  <si>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</si>
  <si>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</si>
  <si>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</si>
  <si>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</si>
  <si>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</si>
  <si>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</si>
  <si>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</si>
  <si>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</si>
  <si>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</si>
  <si>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</si>
  <si>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</si>
  <si>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</si>
  <si>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</si>
  <si>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</si>
  <si>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</si>
  <si>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</si>
  <si>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</si>
  <si>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</si>
  <si>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</si>
  <si>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</si>
  <si>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</si>
  <si>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</si>
  <si>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</si>
  <si>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</si>
  <si>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</si>
  <si>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</si>
  <si>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</si>
  <si>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</si>
  <si>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</si>
  <si>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</si>
  <si>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</si>
  <si>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</si>
  <si>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</si>
  <si>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</si>
  <si>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</si>
  <si>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</si>
  <si>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</si>
  <si>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</si>
  <si>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</si>
  <si>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</si>
  <si>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</si>
  <si>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</si>
  <si>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</si>
  <si>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</si>
  <si>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</si>
  <si>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</si>
  <si>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</si>
  <si>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</si>
  <si>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</si>
  <si>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</si>
  <si>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</si>
  <si>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</si>
  <si>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</si>
  <si>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</si>
  <si>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</si>
  <si>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</si>
  <si>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</si>
  <si>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</si>
  <si>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</si>
  <si>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</si>
  <si>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</si>
  <si>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</si>
  <si>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</si>
  <si>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</si>
  <si>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</si>
  <si>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</si>
  <si>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</si>
  <si>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</si>
  <si>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</si>
  <si>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</si>
  <si>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</si>
  <si>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</si>
  <si>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</si>
  <si>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</si>
  <si>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</si>
  <si>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</si>
  <si>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</si>
  <si>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</si>
  <si>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</si>
  <si>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</si>
  <si>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</si>
  <si>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</si>
  <si>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</si>
  <si>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</si>
  <si>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</si>
  <si>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</si>
  <si>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</si>
  <si>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</si>
  <si>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</si>
  <si>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</si>
  <si>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Rótulos de Linha</t>
  </si>
  <si>
    <t>Soma de Total Value</t>
  </si>
  <si>
    <t>XBOX GAMEPASS SUBSCRIPITIONS SALES</t>
  </si>
  <si>
    <t>Soma de EA Play Season Pass</t>
  </si>
  <si>
    <t>Soma de Minecraft Season Pass Price</t>
  </si>
  <si>
    <r>
      <t xml:space="preserve">&gt; </t>
    </r>
    <r>
      <rPr>
        <b/>
        <sz val="14"/>
        <color theme="0"/>
        <rFont val="Segoe UI"/>
        <family val="2"/>
      </rPr>
      <t xml:space="preserve">Bem vindo, João </t>
    </r>
  </si>
  <si>
    <t>calculation period: 01/01/2024 -31/12/2024  | Update: 16/10/2025 14:08:00</t>
  </si>
  <si>
    <t>Contagem de Subscriber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</si>
</sst>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11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1" fillId="0" borderId="2" xfId="1" applyBorder="1"/>
    <xf numFmtId="0" fontId="0" fillId="0" borderId="2" xfId="0" applyBorder="1"/>
    <xf numFmtId="0" fontId="6" fillId="5" borderId="0" xfId="0" applyFont="1" applyFill="1"/>
    <xf numFmtId="0" fontId="4" fillId="0" borderId="2" xfId="1" applyFont="1" applyBorder="1" applyAlignment="1">
      <alignment horizontal="left" indent="7"/>
    </xf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theme="5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ubscriptions Type" pivot="0" table="0" count="10" xr9:uid="{DEB5DDFF-C4B5-4FBD-9D5A-9B6DD3F931ED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ubscriptions Typ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dashboard.xlsx]C̳álculos!Tabela dinâmica4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C̳álculos!$C$30</c:f>
              <c:strCache>
                <c:ptCount val="1"/>
                <c:pt idx="0">
                  <c:v>Contagem de Subscriber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C̳álculos!$B$31:$B$34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C̳álculos!$C$31:$C$34</c:f>
              <c:numCache>
                <c:formatCode>General</c:formatCode>
                <c:ptCount val="3"/>
                <c:pt idx="0">
                  <c:v>28</c:v>
                </c:pt>
                <c:pt idx="1">
                  <c:v>24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A-44AD-88DF-410BF6C4F91C}"/>
            </c:ext>
          </c:extLst>
        </c:ser>
        <c:ser>
          <c:idx val="1"/>
          <c:order val="1"/>
          <c:tx>
            <c:strRef>
              <c:f>C̳álculos!$D$30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C̳álculos!$B$31:$B$34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C̳álculos!$D$31:$D$34</c:f>
              <c:numCache>
                <c:formatCode>_("R$"* #,##0.00_);_("R$"* \(#,##0.00\);_("R$"* "-"??_);_(@_)</c:formatCode>
                <c:ptCount val="3"/>
                <c:pt idx="0">
                  <c:v>132</c:v>
                </c:pt>
                <c:pt idx="1">
                  <c:v>395</c:v>
                </c:pt>
                <c:pt idx="2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A-44AD-88DF-410BF6C4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6201951"/>
        <c:axId val="834169247"/>
      </c:barChart>
      <c:catAx>
        <c:axId val="97620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4169247"/>
        <c:crosses val="autoZero"/>
        <c:auto val="1"/>
        <c:lblAlgn val="ctr"/>
        <c:lblOffset val="100"/>
        <c:noMultiLvlLbl val="0"/>
      </c:catAx>
      <c:valAx>
        <c:axId val="83416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20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dashboard.xlsx]C̳álculos!Tabela dinâmica1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969998396924734E-2"/>
          <c:y val="9.1069634294081825E-2"/>
          <c:w val="0.87974757010868676"/>
          <c:h val="0.908930365705918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6-4ACD-A3E4-9B2A34C84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187024"/>
        <c:axId val="643743711"/>
      </c:barChart>
      <c:catAx>
        <c:axId val="80318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3743711"/>
        <c:crosses val="autoZero"/>
        <c:auto val="1"/>
        <c:lblAlgn val="ctr"/>
        <c:lblOffset val="100"/>
        <c:noMultiLvlLbl val="0"/>
      </c:catAx>
      <c:valAx>
        <c:axId val="64374371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318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dashboard.xlsx]C̳álculos!Tabela dinâmica4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C̳álculos!$C$30</c:f>
              <c:strCache>
                <c:ptCount val="1"/>
                <c:pt idx="0">
                  <c:v>Contagem de Subscriber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C̳álculos!$B$31:$B$34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C̳álculos!$C$31:$C$34</c:f>
              <c:numCache>
                <c:formatCode>General</c:formatCode>
                <c:ptCount val="3"/>
                <c:pt idx="0">
                  <c:v>28</c:v>
                </c:pt>
                <c:pt idx="1">
                  <c:v>24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9-4BCA-BCF5-7978E3B4F29E}"/>
            </c:ext>
          </c:extLst>
        </c:ser>
        <c:ser>
          <c:idx val="1"/>
          <c:order val="1"/>
          <c:tx>
            <c:strRef>
              <c:f>C̳álculos!$D$30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C̳álculos!$B$31:$B$34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C̳álculos!$D$31:$D$34</c:f>
              <c:numCache>
                <c:formatCode>_("R$"* #,##0.00_);_("R$"* \(#,##0.00\);_("R$"* "-"??_);_(@_)</c:formatCode>
                <c:ptCount val="3"/>
                <c:pt idx="0">
                  <c:v>132</c:v>
                </c:pt>
                <c:pt idx="1">
                  <c:v>395</c:v>
                </c:pt>
                <c:pt idx="2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9-4BCA-BCF5-7978E3B4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6201951"/>
        <c:axId val="834169247"/>
      </c:barChart>
      <c:catAx>
        <c:axId val="97620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4169247"/>
        <c:crosses val="autoZero"/>
        <c:auto val="1"/>
        <c:lblAlgn val="ctr"/>
        <c:lblOffset val="100"/>
        <c:noMultiLvlLbl val="0"/>
      </c:catAx>
      <c:valAx>
        <c:axId val="8341692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620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1400175</xdr:colOff>
      <xdr:row>26</xdr:row>
      <xdr:rowOff>71437</xdr:rowOff>
    </xdr:from>
    <xdr:to>
      <xdr:col>6</xdr:col>
      <xdr:colOff>257175</xdr:colOff>
      <xdr:row>40</xdr:row>
      <xdr:rowOff>147637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EEFBF4-3561-FD31-7846-9E139EF77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1464470</xdr:colOff>
      <xdr:row>0</xdr:row>
      <xdr:rowOff>95248</xdr:rowOff>
    </xdr:from>
    <xdr:to>
      <xdr:col>2</xdr:col>
      <xdr:colOff>71437</xdr:colOff>
      <xdr:row>4</xdr:row>
      <xdr:rowOff>9830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0962D3-CF28-412F-B75A-8DBAFDD1AB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65" r="72360" b="1165"/>
        <a:stretch>
          <a:fillRect/>
        </a:stretch>
      </xdr:blipFill>
      <xdr:spPr>
        <a:xfrm>
          <a:off x="1464470" y="95248"/>
          <a:ext cx="881061" cy="112902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59531</xdr:rowOff>
    </xdr:from>
    <xdr:to>
      <xdr:col>0</xdr:col>
      <xdr:colOff>1750219</xdr:colOff>
      <xdr:row>20</xdr:row>
      <xdr:rowOff>59531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2BCD0E0D-A7B0-4DD8-8080-0AB0EA6DE9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26406"/>
              <a:ext cx="1750219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164306</xdr:colOff>
      <xdr:row>7</xdr:row>
      <xdr:rowOff>35719</xdr:rowOff>
    </xdr:from>
    <xdr:to>
      <xdr:col>8</xdr:col>
      <xdr:colOff>497682</xdr:colOff>
      <xdr:row>16</xdr:row>
      <xdr:rowOff>95250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EACA692F-DE27-8DA7-D159-065CBB9FB8C3}"/>
            </a:ext>
          </a:extLst>
        </xdr:cNvPr>
        <xdr:cNvGrpSpPr/>
      </xdr:nvGrpSpPr>
      <xdr:grpSpPr>
        <a:xfrm>
          <a:off x="1950244" y="1893094"/>
          <a:ext cx="4464844" cy="1774031"/>
          <a:chOff x="1928812" y="1404938"/>
          <a:chExt cx="4464844" cy="177403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ADC9EC8-535C-5DA2-E9B4-208DEC4F91B8}"/>
              </a:ext>
            </a:extLst>
          </xdr:cNvPr>
          <xdr:cNvSpPr/>
        </xdr:nvSpPr>
        <xdr:spPr>
          <a:xfrm>
            <a:off x="1928812" y="1416844"/>
            <a:ext cx="4452938" cy="1631156"/>
          </a:xfrm>
          <a:prstGeom prst="roundRect">
            <a:avLst>
              <a:gd name="adj" fmla="val 1082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/>
              <a:t> </a:t>
            </a:r>
          </a:p>
        </xdr:txBody>
      </xdr:sp>
      <xdr:sp macro="" textlink="C̳álculos!E17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AB8590FF-F121-44B4-95C9-73A20F736974}"/>
              </a:ext>
            </a:extLst>
          </xdr:cNvPr>
          <xdr:cNvSpPr/>
        </xdr:nvSpPr>
        <xdr:spPr>
          <a:xfrm>
            <a:off x="3405188" y="2071687"/>
            <a:ext cx="2952750" cy="69056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59B53CE-B053-4CE7-BC44-A12D4E276C80}" type="TxLink">
              <a:rPr lang="en-US" sz="3600" b="0" i="0" u="none" strike="noStrike">
                <a:solidFill>
                  <a:schemeClr val="accent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36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7C681B84-FF6F-4DE8-9821-A0C62B5A06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19311" y="1726407"/>
            <a:ext cx="1345408" cy="1452561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9632EA90-120E-63EC-D8A1-4BFE03E5FD3B}"/>
              </a:ext>
            </a:extLst>
          </xdr:cNvPr>
          <xdr:cNvSpPr/>
        </xdr:nvSpPr>
        <xdr:spPr>
          <a:xfrm>
            <a:off x="1928812" y="1404938"/>
            <a:ext cx="4464844" cy="511969"/>
          </a:xfrm>
          <a:prstGeom prst="round2Same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EA</a:t>
            </a: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PLAY</a:t>
            </a: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SEASONPASS</a:t>
            </a:r>
          </a:p>
        </xdr:txBody>
      </xdr:sp>
    </xdr:grpSp>
    <xdr:clientData/>
  </xdr:twoCellAnchor>
  <xdr:twoCellAnchor>
    <xdr:from>
      <xdr:col>10</xdr:col>
      <xdr:colOff>71438</xdr:colOff>
      <xdr:row>7</xdr:row>
      <xdr:rowOff>23812</xdr:rowOff>
    </xdr:from>
    <xdr:to>
      <xdr:col>17</xdr:col>
      <xdr:colOff>452438</xdr:colOff>
      <xdr:row>15</xdr:row>
      <xdr:rowOff>142875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E8FD8032-1B0F-1D2F-C36E-98F45E5B8B21}"/>
            </a:ext>
          </a:extLst>
        </xdr:cNvPr>
        <xdr:cNvGrpSpPr/>
      </xdr:nvGrpSpPr>
      <xdr:grpSpPr>
        <a:xfrm>
          <a:off x="7203282" y="1881187"/>
          <a:ext cx="4464844" cy="1643063"/>
          <a:chOff x="7286626" y="1464468"/>
          <a:chExt cx="4464844" cy="1643062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03400D31-0DF1-4CD1-993F-F542221517CA}"/>
              </a:ext>
            </a:extLst>
          </xdr:cNvPr>
          <xdr:cNvGrpSpPr/>
        </xdr:nvGrpSpPr>
        <xdr:grpSpPr>
          <a:xfrm>
            <a:off x="7286626" y="1464468"/>
            <a:ext cx="4464844" cy="1643062"/>
            <a:chOff x="1928812" y="1404938"/>
            <a:chExt cx="4464844" cy="1643062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85D089CD-5F8E-6634-C898-1AC246FDF504}"/>
                </a:ext>
              </a:extLst>
            </xdr:cNvPr>
            <xdr:cNvSpPr/>
          </xdr:nvSpPr>
          <xdr:spPr>
            <a:xfrm>
              <a:off x="1928812" y="1416844"/>
              <a:ext cx="4452938" cy="1631156"/>
            </a:xfrm>
            <a:prstGeom prst="roundRect">
              <a:avLst>
                <a:gd name="adj" fmla="val 1082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900"/>
                <a:t> </a:t>
              </a:r>
            </a:p>
          </xdr:txBody>
        </xdr:sp>
        <xdr:sp macro="" textlink="C̳álculos!E27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1597E0FD-C1D5-EC27-9C63-996AD0832084}"/>
                </a:ext>
              </a:extLst>
            </xdr:cNvPr>
            <xdr:cNvSpPr/>
          </xdr:nvSpPr>
          <xdr:spPr>
            <a:xfrm>
              <a:off x="3321844" y="2131219"/>
              <a:ext cx="2952750" cy="69056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7BDE785-E0C6-46E8-9C74-8BA33F10121C}" type="TxLink">
                <a:rPr lang="en-US" sz="3600" b="0" i="0" u="none" strike="noStrike">
                  <a:solidFill>
                    <a:schemeClr val="accent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R$ 1.140,00</a:t>
              </a:fld>
              <a:endParaRPr lang="pt-BR" sz="3600">
                <a:solidFill>
                  <a:schemeClr val="accent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01CD63E9-A47E-108B-BAF3-83906773F62C}"/>
                </a:ext>
              </a:extLst>
            </xdr:cNvPr>
            <xdr:cNvSpPr/>
          </xdr:nvSpPr>
          <xdr:spPr>
            <a:xfrm>
              <a:off x="1928812" y="1404938"/>
              <a:ext cx="4464844" cy="511969"/>
            </a:xfrm>
            <a:prstGeom prst="round2Same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  SUBSCRIPTION MINECRAFT</a:t>
              </a:r>
              <a:r>
                <a:rPr lang="pt-BR" sz="12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SEASONPASS</a:t>
              </a:r>
            </a:p>
          </xdr:txBody>
        </xdr: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A69FB57F-4572-4574-B8B0-042CAECD91F3}"/>
              </a:ext>
            </a:extLst>
          </xdr:cNvPr>
          <xdr:cNvGrpSpPr/>
        </xdr:nvGrpSpPr>
        <xdr:grpSpPr>
          <a:xfrm>
            <a:off x="7489033" y="2119312"/>
            <a:ext cx="1190623" cy="738188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9CF02608-C2A7-E3B6-4B26-0874724142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AD535456-D94D-4F55-7603-000B20A570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164306</xdr:colOff>
      <xdr:row>17</xdr:row>
      <xdr:rowOff>188119</xdr:rowOff>
    </xdr:from>
    <xdr:to>
      <xdr:col>18</xdr:col>
      <xdr:colOff>11906</xdr:colOff>
      <xdr:row>34</xdr:row>
      <xdr:rowOff>83342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02114606-5A1A-2032-B05A-8434364331AC}"/>
            </a:ext>
          </a:extLst>
        </xdr:cNvPr>
        <xdr:cNvGrpSpPr/>
      </xdr:nvGrpSpPr>
      <xdr:grpSpPr>
        <a:xfrm>
          <a:off x="1950244" y="3950494"/>
          <a:ext cx="9884568" cy="3133723"/>
          <a:chOff x="1974057" y="3629026"/>
          <a:chExt cx="9884568" cy="3133723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02822E2C-1330-557B-D3CE-3CB94C4D52A1}"/>
              </a:ext>
            </a:extLst>
          </xdr:cNvPr>
          <xdr:cNvGrpSpPr/>
        </xdr:nvGrpSpPr>
        <xdr:grpSpPr>
          <a:xfrm>
            <a:off x="1988343" y="4000500"/>
            <a:ext cx="9858375" cy="2762249"/>
            <a:chOff x="1821656" y="1416843"/>
            <a:chExt cx="4441031" cy="2762249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AE640E65-F52F-B396-E256-104585348818}"/>
                </a:ext>
              </a:extLst>
            </xdr:cNvPr>
            <xdr:cNvSpPr/>
          </xdr:nvSpPr>
          <xdr:spPr>
            <a:xfrm>
              <a:off x="1821656" y="1416843"/>
              <a:ext cx="4441031" cy="2762249"/>
            </a:xfrm>
            <a:prstGeom prst="roundRect">
              <a:avLst>
                <a:gd name="adj" fmla="val 874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C34AC6A3-A85D-449E-BA06-ED9D190F89B8}"/>
                </a:ext>
              </a:extLst>
            </xdr:cNvPr>
            <xdr:cNvGraphicFramePr>
              <a:graphicFrameLocks/>
            </xdr:cNvGraphicFramePr>
          </xdr:nvGraphicFramePr>
          <xdr:xfrm>
            <a:off x="1945018" y="1631155"/>
            <a:ext cx="4094342" cy="22740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AAF643FC-E018-4CA2-86B1-4AF7E7FFE84B}"/>
              </a:ext>
            </a:extLst>
          </xdr:cNvPr>
          <xdr:cNvSpPr/>
        </xdr:nvSpPr>
        <xdr:spPr>
          <a:xfrm>
            <a:off x="1974057" y="3629026"/>
            <a:ext cx="9884568" cy="511969"/>
          </a:xfrm>
          <a:prstGeom prst="round2Same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 SUBSCRIPTION </a:t>
            </a: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XBOX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511969</xdr:colOff>
      <xdr:row>1</xdr:row>
      <xdr:rowOff>20572</xdr:rowOff>
    </xdr:from>
    <xdr:to>
      <xdr:col>0</xdr:col>
      <xdr:colOff>1207294</xdr:colOff>
      <xdr:row>3</xdr:row>
      <xdr:rowOff>108678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C0DA816A-00E9-47BF-A2A6-0B53CDB2EDEA}"/>
            </a:ext>
          </a:extLst>
        </xdr:cNvPr>
        <xdr:cNvSpPr/>
      </xdr:nvSpPr>
      <xdr:spPr>
        <a:xfrm>
          <a:off x="511969" y="211072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173831</xdr:colOff>
      <xdr:row>36</xdr:row>
      <xdr:rowOff>126207</xdr:rowOff>
    </xdr:from>
    <xdr:to>
      <xdr:col>18</xdr:col>
      <xdr:colOff>21431</xdr:colOff>
      <xdr:row>53</xdr:row>
      <xdr:rowOff>21430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9E853B98-74C9-44F6-B795-57D16A19E055}"/>
            </a:ext>
          </a:extLst>
        </xdr:cNvPr>
        <xdr:cNvGrpSpPr/>
      </xdr:nvGrpSpPr>
      <xdr:grpSpPr>
        <a:xfrm>
          <a:off x="1959769" y="7508082"/>
          <a:ext cx="9884568" cy="3133723"/>
          <a:chOff x="1974057" y="3629026"/>
          <a:chExt cx="9884568" cy="3133723"/>
        </a:xfrm>
      </xdr:grpSpPr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A4D8DC3A-CF8B-4550-7803-3590670AA733}"/>
              </a:ext>
            </a:extLst>
          </xdr:cNvPr>
          <xdr:cNvSpPr/>
        </xdr:nvSpPr>
        <xdr:spPr>
          <a:xfrm>
            <a:off x="1988343" y="4000500"/>
            <a:ext cx="9858375" cy="2762249"/>
          </a:xfrm>
          <a:prstGeom prst="roundRect">
            <a:avLst>
              <a:gd name="adj" fmla="val 874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28DAC1D1-5738-0D5C-64B6-DBD3B83722C8}"/>
              </a:ext>
            </a:extLst>
          </xdr:cNvPr>
          <xdr:cNvSpPr/>
        </xdr:nvSpPr>
        <xdr:spPr>
          <a:xfrm>
            <a:off x="1974057" y="3629026"/>
            <a:ext cx="9884568" cy="511969"/>
          </a:xfrm>
          <a:prstGeom prst="round2Same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 SUBSCRIPTION 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POR PLANO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345280</xdr:colOff>
      <xdr:row>39</xdr:row>
      <xdr:rowOff>107156</xdr:rowOff>
    </xdr:from>
    <xdr:to>
      <xdr:col>17</xdr:col>
      <xdr:colOff>404811</xdr:colOff>
      <xdr:row>52</xdr:row>
      <xdr:rowOff>130969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434021F9-E3B4-4070-8E05-2C63D04CB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van Figueiredo" refreshedDate="46311.482346643519" createdVersion="8" refreshedVersion="8" minRefreshableVersion="3" recordCount="295" xr:uid="{C7FAB6B1-608C-43AA-A970-6F5CB127603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67879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x v="0"/>
    <x v="0"/>
    <s v="Yes"/>
    <x v="0"/>
    <s v="Yes"/>
    <x v="0"/>
    <n v="5"/>
    <n v="60"/>
  </r>
  <r>
    <x v="1"/>
    <x v="1"/>
    <x v="1"/>
    <d v="2024-01-15T00:00:00"/>
    <x v="1"/>
    <x v="1"/>
    <x v="1"/>
    <s v="No"/>
    <x v="1"/>
    <s v="No"/>
    <x v="1"/>
    <n v="0"/>
    <n v="5"/>
  </r>
  <r>
    <x v="2"/>
    <x v="2"/>
    <x v="2"/>
    <d v="2024-02-10T00:00:00"/>
    <x v="0"/>
    <x v="2"/>
    <x v="2"/>
    <s v="No"/>
    <x v="1"/>
    <s v="Yes"/>
    <x v="0"/>
    <n v="10"/>
    <n v="20"/>
  </r>
  <r>
    <x v="3"/>
    <x v="3"/>
    <x v="0"/>
    <d v="2024-02-20T00:00:00"/>
    <x v="1"/>
    <x v="0"/>
    <x v="0"/>
    <s v="Yes"/>
    <x v="0"/>
    <s v="Yes"/>
    <x v="0"/>
    <n v="3"/>
    <n v="62"/>
  </r>
  <r>
    <x v="4"/>
    <x v="4"/>
    <x v="1"/>
    <d v="2024-03-05T00:00:00"/>
    <x v="0"/>
    <x v="1"/>
    <x v="0"/>
    <s v="No"/>
    <x v="1"/>
    <s v="No"/>
    <x v="1"/>
    <n v="1"/>
    <n v="4"/>
  </r>
  <r>
    <x v="5"/>
    <x v="5"/>
    <x v="2"/>
    <d v="2024-03-02T00:00:00"/>
    <x v="1"/>
    <x v="2"/>
    <x v="0"/>
    <s v="No"/>
    <x v="1"/>
    <s v="Yes"/>
    <x v="0"/>
    <n v="2"/>
    <n v="28"/>
  </r>
  <r>
    <x v="6"/>
    <x v="6"/>
    <x v="0"/>
    <d v="2024-03-03T00:00:00"/>
    <x v="0"/>
    <x v="0"/>
    <x v="2"/>
    <s v="Yes"/>
    <x v="0"/>
    <s v="Yes"/>
    <x v="0"/>
    <n v="10"/>
    <n v="55"/>
  </r>
  <r>
    <x v="7"/>
    <x v="7"/>
    <x v="1"/>
    <d v="2024-03-04T00:00:00"/>
    <x v="0"/>
    <x v="1"/>
    <x v="1"/>
    <s v="No"/>
    <x v="1"/>
    <s v="No"/>
    <x v="1"/>
    <n v="0"/>
    <n v="5"/>
  </r>
  <r>
    <x v="8"/>
    <x v="8"/>
    <x v="0"/>
    <d v="2024-03-05T00:00:00"/>
    <x v="1"/>
    <x v="0"/>
    <x v="0"/>
    <s v="Yes"/>
    <x v="0"/>
    <s v="Yes"/>
    <x v="0"/>
    <n v="5"/>
    <n v="60"/>
  </r>
  <r>
    <x v="9"/>
    <x v="9"/>
    <x v="2"/>
    <d v="2024-03-06T00:00:00"/>
    <x v="0"/>
    <x v="2"/>
    <x v="2"/>
    <s v="No"/>
    <x v="1"/>
    <s v="Yes"/>
    <x v="0"/>
    <n v="15"/>
    <n v="15"/>
  </r>
  <r>
    <x v="10"/>
    <x v="10"/>
    <x v="1"/>
    <d v="2024-03-07T00:00:00"/>
    <x v="1"/>
    <x v="1"/>
    <x v="0"/>
    <s v="No"/>
    <x v="1"/>
    <s v="No"/>
    <x v="1"/>
    <n v="1"/>
    <n v="4"/>
  </r>
  <r>
    <x v="11"/>
    <x v="11"/>
    <x v="0"/>
    <d v="2024-03-08T00:00:00"/>
    <x v="0"/>
    <x v="0"/>
    <x v="1"/>
    <s v="Yes"/>
    <x v="0"/>
    <s v="Yes"/>
    <x v="0"/>
    <n v="20"/>
    <n v="45"/>
  </r>
  <r>
    <x v="12"/>
    <x v="12"/>
    <x v="2"/>
    <d v="2024-03-09T00:00:00"/>
    <x v="1"/>
    <x v="2"/>
    <x v="0"/>
    <s v="No"/>
    <x v="1"/>
    <s v="Yes"/>
    <x v="0"/>
    <n v="10"/>
    <n v="20"/>
  </r>
  <r>
    <x v="13"/>
    <x v="13"/>
    <x v="1"/>
    <d v="2024-03-10T00:00:00"/>
    <x v="0"/>
    <x v="1"/>
    <x v="2"/>
    <s v="No"/>
    <x v="1"/>
    <s v="No"/>
    <x v="1"/>
    <n v="0"/>
    <n v="5"/>
  </r>
  <r>
    <x v="14"/>
    <x v="14"/>
    <x v="0"/>
    <d v="2024-03-11T00:00:00"/>
    <x v="1"/>
    <x v="0"/>
    <x v="0"/>
    <s v="Yes"/>
    <x v="0"/>
    <s v="Yes"/>
    <x v="0"/>
    <n v="8"/>
    <n v="57"/>
  </r>
  <r>
    <x v="15"/>
    <x v="15"/>
    <x v="2"/>
    <d v="2024-03-12T00:00:00"/>
    <x v="0"/>
    <x v="2"/>
    <x v="1"/>
    <s v="No"/>
    <x v="1"/>
    <s v="Yes"/>
    <x v="0"/>
    <n v="12"/>
    <n v="18"/>
  </r>
  <r>
    <x v="16"/>
    <x v="16"/>
    <x v="1"/>
    <d v="2024-03-13T00:00:00"/>
    <x v="1"/>
    <x v="1"/>
    <x v="0"/>
    <s v="No"/>
    <x v="1"/>
    <s v="No"/>
    <x v="1"/>
    <n v="2"/>
    <n v="3"/>
  </r>
  <r>
    <x v="17"/>
    <x v="17"/>
    <x v="0"/>
    <d v="2024-03-14T00:00:00"/>
    <x v="0"/>
    <x v="0"/>
    <x v="2"/>
    <s v="Yes"/>
    <x v="0"/>
    <s v="Yes"/>
    <x v="0"/>
    <n v="7"/>
    <n v="58"/>
  </r>
  <r>
    <x v="18"/>
    <x v="18"/>
    <x v="2"/>
    <d v="2024-03-15T00:00:00"/>
    <x v="1"/>
    <x v="2"/>
    <x v="0"/>
    <s v="No"/>
    <x v="1"/>
    <s v="Yes"/>
    <x v="0"/>
    <n v="5"/>
    <n v="25"/>
  </r>
  <r>
    <x v="19"/>
    <x v="19"/>
    <x v="1"/>
    <d v="2024-03-16T00:00:00"/>
    <x v="0"/>
    <x v="1"/>
    <x v="1"/>
    <s v="No"/>
    <x v="1"/>
    <s v="No"/>
    <x v="1"/>
    <n v="0"/>
    <n v="5"/>
  </r>
  <r>
    <x v="20"/>
    <x v="20"/>
    <x v="0"/>
    <d v="2024-03-17T00:00:00"/>
    <x v="1"/>
    <x v="0"/>
    <x v="0"/>
    <s v="Yes"/>
    <x v="0"/>
    <s v="Yes"/>
    <x v="0"/>
    <n v="3"/>
    <n v="62"/>
  </r>
  <r>
    <x v="21"/>
    <x v="21"/>
    <x v="2"/>
    <d v="2024-03-18T00:00:00"/>
    <x v="0"/>
    <x v="2"/>
    <x v="2"/>
    <s v="No"/>
    <x v="1"/>
    <s v="Yes"/>
    <x v="0"/>
    <n v="15"/>
    <n v="15"/>
  </r>
  <r>
    <x v="22"/>
    <x v="22"/>
    <x v="1"/>
    <d v="2024-03-19T00:00:00"/>
    <x v="1"/>
    <x v="1"/>
    <x v="0"/>
    <s v="No"/>
    <x v="1"/>
    <s v="No"/>
    <x v="1"/>
    <n v="1"/>
    <n v="4"/>
  </r>
  <r>
    <x v="23"/>
    <x v="23"/>
    <x v="0"/>
    <d v="2024-03-20T00:00:00"/>
    <x v="0"/>
    <x v="0"/>
    <x v="1"/>
    <s v="Yes"/>
    <x v="0"/>
    <s v="Yes"/>
    <x v="0"/>
    <n v="20"/>
    <n v="45"/>
  </r>
  <r>
    <x v="24"/>
    <x v="24"/>
    <x v="2"/>
    <d v="2024-03-21T00:00:00"/>
    <x v="1"/>
    <x v="2"/>
    <x v="0"/>
    <s v="No"/>
    <x v="1"/>
    <s v="Yes"/>
    <x v="0"/>
    <n v="10"/>
    <n v="20"/>
  </r>
  <r>
    <x v="25"/>
    <x v="25"/>
    <x v="1"/>
    <d v="2024-03-22T00:00:00"/>
    <x v="0"/>
    <x v="1"/>
    <x v="2"/>
    <s v="No"/>
    <x v="1"/>
    <s v="No"/>
    <x v="1"/>
    <n v="0"/>
    <n v="5"/>
  </r>
  <r>
    <x v="26"/>
    <x v="26"/>
    <x v="0"/>
    <d v="2024-03-23T00:00:00"/>
    <x v="1"/>
    <x v="0"/>
    <x v="0"/>
    <s v="Yes"/>
    <x v="0"/>
    <s v="Yes"/>
    <x v="0"/>
    <n v="5"/>
    <n v="60"/>
  </r>
  <r>
    <x v="27"/>
    <x v="27"/>
    <x v="2"/>
    <d v="2024-03-24T00:00:00"/>
    <x v="0"/>
    <x v="2"/>
    <x v="1"/>
    <s v="No"/>
    <x v="1"/>
    <s v="Yes"/>
    <x v="0"/>
    <n v="15"/>
    <n v="15"/>
  </r>
  <r>
    <x v="28"/>
    <x v="28"/>
    <x v="1"/>
    <d v="2024-03-25T00:00:00"/>
    <x v="1"/>
    <x v="1"/>
    <x v="0"/>
    <s v="No"/>
    <x v="1"/>
    <s v="No"/>
    <x v="1"/>
    <n v="1"/>
    <n v="4"/>
  </r>
  <r>
    <x v="29"/>
    <x v="29"/>
    <x v="0"/>
    <d v="2024-03-26T00:00:00"/>
    <x v="0"/>
    <x v="0"/>
    <x v="2"/>
    <s v="Yes"/>
    <x v="0"/>
    <s v="Yes"/>
    <x v="0"/>
    <n v="7"/>
    <n v="58"/>
  </r>
  <r>
    <x v="30"/>
    <x v="30"/>
    <x v="2"/>
    <d v="2024-03-27T00:00:00"/>
    <x v="1"/>
    <x v="2"/>
    <x v="0"/>
    <s v="No"/>
    <x v="1"/>
    <s v="Yes"/>
    <x v="0"/>
    <n v="10"/>
    <n v="20"/>
  </r>
  <r>
    <x v="31"/>
    <x v="31"/>
    <x v="1"/>
    <d v="2024-03-28T00:00:00"/>
    <x v="0"/>
    <x v="1"/>
    <x v="1"/>
    <s v="No"/>
    <x v="1"/>
    <s v="No"/>
    <x v="1"/>
    <n v="0"/>
    <n v="5"/>
  </r>
  <r>
    <x v="32"/>
    <x v="32"/>
    <x v="0"/>
    <d v="2024-03-29T00:00:00"/>
    <x v="1"/>
    <x v="0"/>
    <x v="0"/>
    <s v="Yes"/>
    <x v="0"/>
    <s v="Yes"/>
    <x v="0"/>
    <n v="3"/>
    <n v="62"/>
  </r>
  <r>
    <x v="33"/>
    <x v="33"/>
    <x v="2"/>
    <d v="2024-03-30T00:00:00"/>
    <x v="0"/>
    <x v="2"/>
    <x v="2"/>
    <s v="No"/>
    <x v="1"/>
    <s v="Yes"/>
    <x v="0"/>
    <n v="15"/>
    <n v="15"/>
  </r>
  <r>
    <x v="34"/>
    <x v="34"/>
    <x v="1"/>
    <d v="2024-03-31T00:00:00"/>
    <x v="1"/>
    <x v="1"/>
    <x v="0"/>
    <s v="No"/>
    <x v="1"/>
    <s v="No"/>
    <x v="1"/>
    <n v="1"/>
    <n v="4"/>
  </r>
  <r>
    <x v="35"/>
    <x v="35"/>
    <x v="1"/>
    <d v="2024-04-01T00:00:00"/>
    <x v="0"/>
    <x v="1"/>
    <x v="0"/>
    <s v="No"/>
    <x v="1"/>
    <s v="No"/>
    <x v="1"/>
    <n v="0"/>
    <n v="5"/>
  </r>
  <r>
    <x v="36"/>
    <x v="36"/>
    <x v="0"/>
    <d v="2024-04-02T00:00:00"/>
    <x v="1"/>
    <x v="0"/>
    <x v="2"/>
    <s v="Yes"/>
    <x v="0"/>
    <s v="Yes"/>
    <x v="0"/>
    <n v="7"/>
    <n v="58"/>
  </r>
  <r>
    <x v="37"/>
    <x v="37"/>
    <x v="2"/>
    <d v="2024-04-03T00:00:00"/>
    <x v="0"/>
    <x v="2"/>
    <x v="1"/>
    <s v="No"/>
    <x v="1"/>
    <s v="Yes"/>
    <x v="0"/>
    <n v="10"/>
    <n v="20"/>
  </r>
  <r>
    <x v="38"/>
    <x v="38"/>
    <x v="1"/>
    <d v="2024-04-04T00:00:00"/>
    <x v="1"/>
    <x v="1"/>
    <x v="2"/>
    <s v="No"/>
    <x v="1"/>
    <s v="No"/>
    <x v="1"/>
    <n v="1"/>
    <n v="4"/>
  </r>
  <r>
    <x v="39"/>
    <x v="39"/>
    <x v="0"/>
    <d v="2024-04-05T00:00:00"/>
    <x v="0"/>
    <x v="0"/>
    <x v="0"/>
    <s v="Yes"/>
    <x v="0"/>
    <s v="Yes"/>
    <x v="0"/>
    <n v="15"/>
    <n v="50"/>
  </r>
  <r>
    <x v="40"/>
    <x v="40"/>
    <x v="2"/>
    <d v="2024-04-06T00:00:00"/>
    <x v="1"/>
    <x v="2"/>
    <x v="0"/>
    <s v="No"/>
    <x v="1"/>
    <s v="Yes"/>
    <x v="0"/>
    <n v="5"/>
    <n v="25"/>
  </r>
  <r>
    <x v="41"/>
    <x v="41"/>
    <x v="1"/>
    <d v="2024-04-07T00:00:00"/>
    <x v="0"/>
    <x v="1"/>
    <x v="1"/>
    <s v="No"/>
    <x v="1"/>
    <s v="No"/>
    <x v="1"/>
    <n v="0"/>
    <n v="5"/>
  </r>
  <r>
    <x v="42"/>
    <x v="42"/>
    <x v="0"/>
    <d v="2024-04-08T00:00:00"/>
    <x v="1"/>
    <x v="0"/>
    <x v="2"/>
    <s v="Yes"/>
    <x v="0"/>
    <s v="Yes"/>
    <x v="0"/>
    <n v="20"/>
    <n v="45"/>
  </r>
  <r>
    <x v="43"/>
    <x v="43"/>
    <x v="2"/>
    <d v="2024-04-09T00:00:00"/>
    <x v="0"/>
    <x v="2"/>
    <x v="2"/>
    <s v="No"/>
    <x v="1"/>
    <s v="Yes"/>
    <x v="0"/>
    <n v="12"/>
    <n v="18"/>
  </r>
  <r>
    <x v="44"/>
    <x v="44"/>
    <x v="1"/>
    <d v="2024-04-10T00:00:00"/>
    <x v="1"/>
    <x v="1"/>
    <x v="0"/>
    <s v="No"/>
    <x v="1"/>
    <s v="No"/>
    <x v="1"/>
    <n v="2"/>
    <n v="3"/>
  </r>
  <r>
    <x v="45"/>
    <x v="45"/>
    <x v="0"/>
    <d v="2024-04-11T00:00:00"/>
    <x v="0"/>
    <x v="0"/>
    <x v="1"/>
    <s v="Yes"/>
    <x v="0"/>
    <s v="Yes"/>
    <x v="0"/>
    <n v="5"/>
    <n v="60"/>
  </r>
  <r>
    <x v="46"/>
    <x v="46"/>
    <x v="2"/>
    <d v="2024-04-12T00:00:00"/>
    <x v="1"/>
    <x v="2"/>
    <x v="0"/>
    <s v="No"/>
    <x v="1"/>
    <s v="Yes"/>
    <x v="0"/>
    <n v="10"/>
    <n v="20"/>
  </r>
  <r>
    <x v="47"/>
    <x v="47"/>
    <x v="1"/>
    <d v="2024-04-13T00:00:00"/>
    <x v="0"/>
    <x v="1"/>
    <x v="2"/>
    <s v="No"/>
    <x v="1"/>
    <s v="No"/>
    <x v="1"/>
    <n v="0"/>
    <n v="5"/>
  </r>
  <r>
    <x v="48"/>
    <x v="48"/>
    <x v="0"/>
    <d v="2024-04-14T00:00:00"/>
    <x v="1"/>
    <x v="0"/>
    <x v="0"/>
    <s v="Yes"/>
    <x v="0"/>
    <s v="Yes"/>
    <x v="0"/>
    <n v="3"/>
    <n v="62"/>
  </r>
  <r>
    <x v="49"/>
    <x v="49"/>
    <x v="2"/>
    <d v="2024-04-15T00:00:00"/>
    <x v="0"/>
    <x v="2"/>
    <x v="1"/>
    <s v="No"/>
    <x v="1"/>
    <s v="Yes"/>
    <x v="0"/>
    <n v="15"/>
    <n v="15"/>
  </r>
  <r>
    <x v="50"/>
    <x v="50"/>
    <x v="1"/>
    <d v="2024-04-16T00:00:00"/>
    <x v="1"/>
    <x v="1"/>
    <x v="0"/>
    <s v="No"/>
    <x v="1"/>
    <s v="No"/>
    <x v="1"/>
    <n v="1"/>
    <n v="4"/>
  </r>
  <r>
    <x v="51"/>
    <x v="51"/>
    <x v="0"/>
    <d v="2024-04-17T00:00:00"/>
    <x v="0"/>
    <x v="0"/>
    <x v="2"/>
    <s v="Yes"/>
    <x v="0"/>
    <s v="Yes"/>
    <x v="0"/>
    <n v="7"/>
    <n v="58"/>
  </r>
  <r>
    <x v="52"/>
    <x v="52"/>
    <x v="2"/>
    <d v="2024-04-18T00:00:00"/>
    <x v="1"/>
    <x v="2"/>
    <x v="0"/>
    <s v="No"/>
    <x v="1"/>
    <s v="Yes"/>
    <x v="0"/>
    <n v="10"/>
    <n v="20"/>
  </r>
  <r>
    <x v="53"/>
    <x v="53"/>
    <x v="1"/>
    <d v="2024-04-19T00:00:00"/>
    <x v="0"/>
    <x v="1"/>
    <x v="1"/>
    <s v="No"/>
    <x v="1"/>
    <s v="No"/>
    <x v="1"/>
    <n v="0"/>
    <n v="5"/>
  </r>
  <r>
    <x v="54"/>
    <x v="54"/>
    <x v="0"/>
    <d v="2024-04-20T00:00:00"/>
    <x v="1"/>
    <x v="0"/>
    <x v="0"/>
    <s v="Yes"/>
    <x v="0"/>
    <s v="Yes"/>
    <x v="0"/>
    <n v="20"/>
    <n v="45"/>
  </r>
  <r>
    <x v="55"/>
    <x v="55"/>
    <x v="2"/>
    <d v="2024-04-21T00:00:00"/>
    <x v="0"/>
    <x v="2"/>
    <x v="2"/>
    <s v="No"/>
    <x v="1"/>
    <s v="Yes"/>
    <x v="0"/>
    <n v="15"/>
    <n v="15"/>
  </r>
  <r>
    <x v="56"/>
    <x v="56"/>
    <x v="1"/>
    <d v="2024-04-22T00:00:00"/>
    <x v="1"/>
    <x v="1"/>
    <x v="0"/>
    <s v="No"/>
    <x v="1"/>
    <s v="No"/>
    <x v="1"/>
    <n v="1"/>
    <n v="4"/>
  </r>
  <r>
    <x v="57"/>
    <x v="57"/>
    <x v="0"/>
    <d v="2024-04-23T00:00:00"/>
    <x v="0"/>
    <x v="0"/>
    <x v="1"/>
    <s v="Yes"/>
    <x v="0"/>
    <s v="Yes"/>
    <x v="0"/>
    <n v="3"/>
    <n v="62"/>
  </r>
  <r>
    <x v="58"/>
    <x v="58"/>
    <x v="2"/>
    <d v="2024-04-24T00:00:00"/>
    <x v="1"/>
    <x v="2"/>
    <x v="0"/>
    <s v="No"/>
    <x v="1"/>
    <s v="Yes"/>
    <x v="0"/>
    <n v="10"/>
    <n v="20"/>
  </r>
  <r>
    <x v="59"/>
    <x v="59"/>
    <x v="1"/>
    <d v="2024-04-25T00:00:00"/>
    <x v="0"/>
    <x v="1"/>
    <x v="2"/>
    <s v="No"/>
    <x v="1"/>
    <s v="No"/>
    <x v="1"/>
    <n v="0"/>
    <n v="5"/>
  </r>
  <r>
    <x v="60"/>
    <x v="60"/>
    <x v="0"/>
    <d v="2024-04-26T00:00:00"/>
    <x v="1"/>
    <x v="0"/>
    <x v="0"/>
    <s v="Yes"/>
    <x v="0"/>
    <s v="Yes"/>
    <x v="0"/>
    <n v="5"/>
    <n v="60"/>
  </r>
  <r>
    <x v="61"/>
    <x v="61"/>
    <x v="2"/>
    <d v="2024-04-27T00:00:00"/>
    <x v="0"/>
    <x v="2"/>
    <x v="1"/>
    <s v="No"/>
    <x v="1"/>
    <s v="Yes"/>
    <x v="0"/>
    <n v="15"/>
    <n v="15"/>
  </r>
  <r>
    <x v="62"/>
    <x v="62"/>
    <x v="1"/>
    <d v="2024-04-28T00:00:00"/>
    <x v="1"/>
    <x v="1"/>
    <x v="0"/>
    <s v="No"/>
    <x v="1"/>
    <s v="No"/>
    <x v="1"/>
    <n v="1"/>
    <n v="4"/>
  </r>
  <r>
    <x v="63"/>
    <x v="63"/>
    <x v="0"/>
    <d v="2024-04-29T00:00:00"/>
    <x v="0"/>
    <x v="0"/>
    <x v="2"/>
    <s v="Yes"/>
    <x v="0"/>
    <s v="Yes"/>
    <x v="0"/>
    <n v="20"/>
    <n v="45"/>
  </r>
  <r>
    <x v="64"/>
    <x v="64"/>
    <x v="2"/>
    <d v="2024-04-30T00:00:00"/>
    <x v="1"/>
    <x v="2"/>
    <x v="0"/>
    <s v="No"/>
    <x v="1"/>
    <s v="Yes"/>
    <x v="0"/>
    <n v="5"/>
    <n v="25"/>
  </r>
  <r>
    <x v="65"/>
    <x v="65"/>
    <x v="1"/>
    <d v="2024-05-01T00:00:00"/>
    <x v="1"/>
    <x v="1"/>
    <x v="0"/>
    <s v="No"/>
    <x v="1"/>
    <s v="No"/>
    <x v="1"/>
    <n v="0"/>
    <n v="5"/>
  </r>
  <r>
    <x v="66"/>
    <x v="66"/>
    <x v="0"/>
    <d v="2024-05-02T00:00:00"/>
    <x v="0"/>
    <x v="0"/>
    <x v="2"/>
    <s v="Yes"/>
    <x v="0"/>
    <s v="Yes"/>
    <x v="0"/>
    <n v="7"/>
    <n v="58"/>
  </r>
  <r>
    <x v="67"/>
    <x v="67"/>
    <x v="2"/>
    <d v="2024-05-03T00:00:00"/>
    <x v="1"/>
    <x v="2"/>
    <x v="1"/>
    <s v="No"/>
    <x v="1"/>
    <s v="Yes"/>
    <x v="0"/>
    <n v="10"/>
    <n v="20"/>
  </r>
  <r>
    <x v="68"/>
    <x v="68"/>
    <x v="1"/>
    <d v="2024-05-04T00:00:00"/>
    <x v="0"/>
    <x v="1"/>
    <x v="2"/>
    <s v="No"/>
    <x v="1"/>
    <s v="No"/>
    <x v="1"/>
    <n v="1"/>
    <n v="4"/>
  </r>
  <r>
    <x v="69"/>
    <x v="69"/>
    <x v="0"/>
    <d v="2024-05-05T00:00:00"/>
    <x v="1"/>
    <x v="0"/>
    <x v="0"/>
    <s v="Yes"/>
    <x v="0"/>
    <s v="Yes"/>
    <x v="0"/>
    <n v="15"/>
    <n v="50"/>
  </r>
  <r>
    <x v="70"/>
    <x v="70"/>
    <x v="2"/>
    <d v="2024-05-06T00:00:00"/>
    <x v="0"/>
    <x v="2"/>
    <x v="0"/>
    <s v="No"/>
    <x v="1"/>
    <s v="Yes"/>
    <x v="0"/>
    <n v="5"/>
    <n v="25"/>
  </r>
  <r>
    <x v="71"/>
    <x v="71"/>
    <x v="1"/>
    <d v="2024-05-07T00:00:00"/>
    <x v="1"/>
    <x v="1"/>
    <x v="1"/>
    <s v="No"/>
    <x v="1"/>
    <s v="No"/>
    <x v="1"/>
    <n v="0"/>
    <n v="5"/>
  </r>
  <r>
    <x v="72"/>
    <x v="72"/>
    <x v="0"/>
    <d v="2024-05-08T00:00:00"/>
    <x v="0"/>
    <x v="0"/>
    <x v="2"/>
    <s v="Yes"/>
    <x v="0"/>
    <s v="Yes"/>
    <x v="0"/>
    <n v="20"/>
    <n v="45"/>
  </r>
  <r>
    <x v="73"/>
    <x v="73"/>
    <x v="2"/>
    <d v="2024-05-09T00:00:00"/>
    <x v="1"/>
    <x v="2"/>
    <x v="2"/>
    <s v="No"/>
    <x v="1"/>
    <s v="Yes"/>
    <x v="0"/>
    <n v="12"/>
    <n v="18"/>
  </r>
  <r>
    <x v="74"/>
    <x v="74"/>
    <x v="1"/>
    <d v="2024-05-10T00:00:00"/>
    <x v="0"/>
    <x v="1"/>
    <x v="0"/>
    <s v="No"/>
    <x v="1"/>
    <s v="No"/>
    <x v="1"/>
    <n v="2"/>
    <n v="3"/>
  </r>
  <r>
    <x v="75"/>
    <x v="75"/>
    <x v="0"/>
    <d v="2024-05-11T00:00:00"/>
    <x v="1"/>
    <x v="0"/>
    <x v="1"/>
    <s v="Yes"/>
    <x v="0"/>
    <s v="Yes"/>
    <x v="0"/>
    <n v="5"/>
    <n v="60"/>
  </r>
  <r>
    <x v="76"/>
    <x v="76"/>
    <x v="2"/>
    <d v="2024-05-12T00:00:00"/>
    <x v="0"/>
    <x v="2"/>
    <x v="0"/>
    <s v="No"/>
    <x v="1"/>
    <s v="Yes"/>
    <x v="0"/>
    <n v="10"/>
    <n v="20"/>
  </r>
  <r>
    <x v="77"/>
    <x v="77"/>
    <x v="1"/>
    <d v="2024-05-13T00:00:00"/>
    <x v="1"/>
    <x v="1"/>
    <x v="2"/>
    <s v="No"/>
    <x v="1"/>
    <s v="No"/>
    <x v="1"/>
    <n v="0"/>
    <n v="5"/>
  </r>
  <r>
    <x v="78"/>
    <x v="78"/>
    <x v="0"/>
    <d v="2024-05-14T00:00:00"/>
    <x v="0"/>
    <x v="0"/>
    <x v="0"/>
    <s v="Yes"/>
    <x v="0"/>
    <s v="Yes"/>
    <x v="0"/>
    <n v="3"/>
    <n v="62"/>
  </r>
  <r>
    <x v="79"/>
    <x v="79"/>
    <x v="2"/>
    <d v="2024-05-15T00:00:00"/>
    <x v="1"/>
    <x v="2"/>
    <x v="1"/>
    <s v="No"/>
    <x v="1"/>
    <s v="Yes"/>
    <x v="0"/>
    <n v="15"/>
    <n v="15"/>
  </r>
  <r>
    <x v="80"/>
    <x v="80"/>
    <x v="1"/>
    <d v="2024-05-16T00:00:00"/>
    <x v="0"/>
    <x v="1"/>
    <x v="0"/>
    <s v="No"/>
    <x v="1"/>
    <s v="No"/>
    <x v="1"/>
    <n v="1"/>
    <n v="4"/>
  </r>
  <r>
    <x v="81"/>
    <x v="81"/>
    <x v="0"/>
    <d v="2024-05-17T00:00:00"/>
    <x v="1"/>
    <x v="0"/>
    <x v="2"/>
    <s v="Yes"/>
    <x v="0"/>
    <s v="Yes"/>
    <x v="0"/>
    <n v="7"/>
    <n v="58"/>
  </r>
  <r>
    <x v="82"/>
    <x v="82"/>
    <x v="2"/>
    <d v="2024-05-18T00:00:00"/>
    <x v="0"/>
    <x v="2"/>
    <x v="0"/>
    <s v="No"/>
    <x v="1"/>
    <s v="Yes"/>
    <x v="0"/>
    <n v="10"/>
    <n v="20"/>
  </r>
  <r>
    <x v="83"/>
    <x v="83"/>
    <x v="1"/>
    <d v="2024-05-19T00:00:00"/>
    <x v="1"/>
    <x v="1"/>
    <x v="1"/>
    <s v="No"/>
    <x v="1"/>
    <s v="No"/>
    <x v="1"/>
    <n v="0"/>
    <n v="5"/>
  </r>
  <r>
    <x v="84"/>
    <x v="84"/>
    <x v="0"/>
    <d v="2024-05-20T00:00:00"/>
    <x v="0"/>
    <x v="0"/>
    <x v="0"/>
    <s v="Yes"/>
    <x v="0"/>
    <s v="Yes"/>
    <x v="0"/>
    <n v="20"/>
    <n v="45"/>
  </r>
  <r>
    <x v="85"/>
    <x v="85"/>
    <x v="2"/>
    <d v="2024-05-21T00:00:00"/>
    <x v="1"/>
    <x v="2"/>
    <x v="2"/>
    <s v="No"/>
    <x v="1"/>
    <s v="Yes"/>
    <x v="0"/>
    <n v="15"/>
    <n v="15"/>
  </r>
  <r>
    <x v="86"/>
    <x v="86"/>
    <x v="1"/>
    <d v="2024-05-22T00:00:00"/>
    <x v="0"/>
    <x v="1"/>
    <x v="0"/>
    <s v="No"/>
    <x v="1"/>
    <s v="No"/>
    <x v="1"/>
    <n v="1"/>
    <n v="4"/>
  </r>
  <r>
    <x v="87"/>
    <x v="87"/>
    <x v="0"/>
    <d v="2024-05-23T00:00:00"/>
    <x v="1"/>
    <x v="0"/>
    <x v="1"/>
    <s v="Yes"/>
    <x v="0"/>
    <s v="Yes"/>
    <x v="0"/>
    <n v="3"/>
    <n v="62"/>
  </r>
  <r>
    <x v="88"/>
    <x v="88"/>
    <x v="2"/>
    <d v="2024-05-24T00:00:00"/>
    <x v="0"/>
    <x v="2"/>
    <x v="0"/>
    <s v="No"/>
    <x v="1"/>
    <s v="Yes"/>
    <x v="0"/>
    <n v="10"/>
    <n v="20"/>
  </r>
  <r>
    <x v="89"/>
    <x v="89"/>
    <x v="1"/>
    <d v="2024-05-25T00:00:00"/>
    <x v="1"/>
    <x v="1"/>
    <x v="2"/>
    <s v="No"/>
    <x v="1"/>
    <s v="No"/>
    <x v="1"/>
    <n v="0"/>
    <n v="5"/>
  </r>
  <r>
    <x v="90"/>
    <x v="90"/>
    <x v="0"/>
    <d v="2024-05-26T00:00:00"/>
    <x v="0"/>
    <x v="0"/>
    <x v="0"/>
    <s v="Yes"/>
    <x v="0"/>
    <s v="Yes"/>
    <x v="0"/>
    <n v="5"/>
    <n v="60"/>
  </r>
  <r>
    <x v="91"/>
    <x v="91"/>
    <x v="2"/>
    <d v="2024-05-27T00:00:00"/>
    <x v="1"/>
    <x v="2"/>
    <x v="1"/>
    <s v="No"/>
    <x v="1"/>
    <s v="Yes"/>
    <x v="0"/>
    <n v="15"/>
    <n v="15"/>
  </r>
  <r>
    <x v="92"/>
    <x v="92"/>
    <x v="1"/>
    <d v="2024-05-28T00:00:00"/>
    <x v="0"/>
    <x v="1"/>
    <x v="0"/>
    <s v="No"/>
    <x v="1"/>
    <s v="No"/>
    <x v="1"/>
    <n v="1"/>
    <n v="4"/>
  </r>
  <r>
    <x v="93"/>
    <x v="93"/>
    <x v="0"/>
    <d v="2024-05-29T00:00:00"/>
    <x v="1"/>
    <x v="0"/>
    <x v="2"/>
    <s v="Yes"/>
    <x v="0"/>
    <s v="Yes"/>
    <x v="0"/>
    <n v="20"/>
    <n v="45"/>
  </r>
  <r>
    <x v="94"/>
    <x v="94"/>
    <x v="2"/>
    <d v="2024-05-30T00:00:00"/>
    <x v="0"/>
    <x v="2"/>
    <x v="2"/>
    <s v="No"/>
    <x v="1"/>
    <s v="Yes"/>
    <x v="0"/>
    <n v="15"/>
    <n v="15"/>
  </r>
  <r>
    <x v="95"/>
    <x v="95"/>
    <x v="1"/>
    <d v="2024-05-31T00:00:00"/>
    <x v="1"/>
    <x v="1"/>
    <x v="1"/>
    <s v="No"/>
    <x v="1"/>
    <s v="No"/>
    <x v="1"/>
    <n v="0"/>
    <n v="5"/>
  </r>
  <r>
    <x v="96"/>
    <x v="96"/>
    <x v="0"/>
    <d v="2024-06-01T00:00:00"/>
    <x v="0"/>
    <x v="0"/>
    <x v="0"/>
    <s v="Yes"/>
    <x v="0"/>
    <s v="Yes"/>
    <x v="0"/>
    <n v="7"/>
    <n v="58"/>
  </r>
  <r>
    <x v="97"/>
    <x v="97"/>
    <x v="2"/>
    <d v="2024-06-02T00:00:00"/>
    <x v="1"/>
    <x v="2"/>
    <x v="1"/>
    <s v="No"/>
    <x v="1"/>
    <s v="Yes"/>
    <x v="0"/>
    <n v="10"/>
    <n v="20"/>
  </r>
  <r>
    <x v="98"/>
    <x v="98"/>
    <x v="1"/>
    <d v="2024-06-03T00:00:00"/>
    <x v="0"/>
    <x v="1"/>
    <x v="2"/>
    <s v="No"/>
    <x v="1"/>
    <s v="No"/>
    <x v="1"/>
    <n v="1"/>
    <n v="4"/>
  </r>
  <r>
    <x v="99"/>
    <x v="99"/>
    <x v="0"/>
    <d v="2024-06-04T00:00:00"/>
    <x v="1"/>
    <x v="0"/>
    <x v="0"/>
    <s v="Yes"/>
    <x v="0"/>
    <s v="Yes"/>
    <x v="0"/>
    <n v="15"/>
    <n v="50"/>
  </r>
  <r>
    <x v="100"/>
    <x v="100"/>
    <x v="2"/>
    <d v="2024-06-05T00:00:00"/>
    <x v="0"/>
    <x v="2"/>
    <x v="0"/>
    <s v="No"/>
    <x v="1"/>
    <s v="Yes"/>
    <x v="0"/>
    <n v="5"/>
    <n v="25"/>
  </r>
  <r>
    <x v="101"/>
    <x v="101"/>
    <x v="1"/>
    <d v="2024-06-06T00:00:00"/>
    <x v="1"/>
    <x v="1"/>
    <x v="1"/>
    <s v="No"/>
    <x v="1"/>
    <s v="No"/>
    <x v="1"/>
    <n v="0"/>
    <n v="5"/>
  </r>
  <r>
    <x v="102"/>
    <x v="102"/>
    <x v="0"/>
    <d v="2024-06-07T00:00:00"/>
    <x v="0"/>
    <x v="0"/>
    <x v="2"/>
    <s v="Yes"/>
    <x v="0"/>
    <s v="Yes"/>
    <x v="0"/>
    <n v="20"/>
    <n v="45"/>
  </r>
  <r>
    <x v="103"/>
    <x v="103"/>
    <x v="2"/>
    <d v="2024-06-08T00:00:00"/>
    <x v="1"/>
    <x v="2"/>
    <x v="2"/>
    <s v="No"/>
    <x v="1"/>
    <s v="Yes"/>
    <x v="0"/>
    <n v="12"/>
    <n v="18"/>
  </r>
  <r>
    <x v="104"/>
    <x v="104"/>
    <x v="1"/>
    <d v="2024-06-09T00:00:00"/>
    <x v="0"/>
    <x v="1"/>
    <x v="0"/>
    <s v="No"/>
    <x v="1"/>
    <s v="No"/>
    <x v="1"/>
    <n v="2"/>
    <n v="3"/>
  </r>
  <r>
    <x v="105"/>
    <x v="105"/>
    <x v="1"/>
    <d v="2024-06-10T00:00:00"/>
    <x v="0"/>
    <x v="1"/>
    <x v="0"/>
    <s v="No"/>
    <x v="1"/>
    <s v="No"/>
    <x v="1"/>
    <n v="0"/>
    <n v="5"/>
  </r>
  <r>
    <x v="106"/>
    <x v="106"/>
    <x v="0"/>
    <d v="2024-06-11T00:00:00"/>
    <x v="1"/>
    <x v="0"/>
    <x v="2"/>
    <s v="Yes"/>
    <x v="0"/>
    <s v="Yes"/>
    <x v="0"/>
    <n v="7"/>
    <n v="58"/>
  </r>
  <r>
    <x v="107"/>
    <x v="107"/>
    <x v="2"/>
    <d v="2024-06-12T00:00:00"/>
    <x v="0"/>
    <x v="2"/>
    <x v="1"/>
    <s v="No"/>
    <x v="1"/>
    <s v="Yes"/>
    <x v="0"/>
    <n v="10"/>
    <n v="20"/>
  </r>
  <r>
    <x v="108"/>
    <x v="108"/>
    <x v="1"/>
    <d v="2024-06-13T00:00:00"/>
    <x v="1"/>
    <x v="1"/>
    <x v="2"/>
    <s v="No"/>
    <x v="1"/>
    <s v="No"/>
    <x v="1"/>
    <n v="1"/>
    <n v="4"/>
  </r>
  <r>
    <x v="109"/>
    <x v="109"/>
    <x v="0"/>
    <d v="2024-06-14T00:00:00"/>
    <x v="0"/>
    <x v="0"/>
    <x v="0"/>
    <s v="Yes"/>
    <x v="0"/>
    <s v="Yes"/>
    <x v="0"/>
    <n v="15"/>
    <n v="50"/>
  </r>
  <r>
    <x v="110"/>
    <x v="110"/>
    <x v="2"/>
    <d v="2024-06-15T00:00:00"/>
    <x v="1"/>
    <x v="2"/>
    <x v="0"/>
    <s v="No"/>
    <x v="1"/>
    <s v="Yes"/>
    <x v="0"/>
    <n v="5"/>
    <n v="25"/>
  </r>
  <r>
    <x v="111"/>
    <x v="111"/>
    <x v="1"/>
    <d v="2024-06-16T00:00:00"/>
    <x v="0"/>
    <x v="1"/>
    <x v="1"/>
    <s v="No"/>
    <x v="1"/>
    <s v="No"/>
    <x v="1"/>
    <n v="0"/>
    <n v="5"/>
  </r>
  <r>
    <x v="112"/>
    <x v="112"/>
    <x v="0"/>
    <d v="2024-06-17T00:00:00"/>
    <x v="1"/>
    <x v="0"/>
    <x v="2"/>
    <s v="Yes"/>
    <x v="0"/>
    <s v="Yes"/>
    <x v="0"/>
    <n v="20"/>
    <n v="45"/>
  </r>
  <r>
    <x v="113"/>
    <x v="113"/>
    <x v="2"/>
    <d v="2024-06-18T00:00:00"/>
    <x v="0"/>
    <x v="2"/>
    <x v="2"/>
    <s v="No"/>
    <x v="1"/>
    <s v="Yes"/>
    <x v="0"/>
    <n v="12"/>
    <n v="18"/>
  </r>
  <r>
    <x v="114"/>
    <x v="114"/>
    <x v="1"/>
    <d v="2024-06-19T00:00:00"/>
    <x v="1"/>
    <x v="1"/>
    <x v="0"/>
    <s v="No"/>
    <x v="1"/>
    <s v="No"/>
    <x v="1"/>
    <n v="2"/>
    <n v="3"/>
  </r>
  <r>
    <x v="115"/>
    <x v="115"/>
    <x v="0"/>
    <d v="2024-06-20T00:00:00"/>
    <x v="0"/>
    <x v="0"/>
    <x v="1"/>
    <s v="Yes"/>
    <x v="0"/>
    <s v="Yes"/>
    <x v="0"/>
    <n v="5"/>
    <n v="60"/>
  </r>
  <r>
    <x v="116"/>
    <x v="116"/>
    <x v="2"/>
    <d v="2024-06-21T00:00:00"/>
    <x v="1"/>
    <x v="2"/>
    <x v="0"/>
    <s v="No"/>
    <x v="1"/>
    <s v="Yes"/>
    <x v="0"/>
    <n v="10"/>
    <n v="20"/>
  </r>
  <r>
    <x v="117"/>
    <x v="117"/>
    <x v="1"/>
    <d v="2024-06-22T00:00:00"/>
    <x v="0"/>
    <x v="1"/>
    <x v="2"/>
    <s v="No"/>
    <x v="1"/>
    <s v="No"/>
    <x v="1"/>
    <n v="0"/>
    <n v="5"/>
  </r>
  <r>
    <x v="118"/>
    <x v="93"/>
    <x v="0"/>
    <d v="2024-06-23T00:00:00"/>
    <x v="1"/>
    <x v="0"/>
    <x v="0"/>
    <s v="Yes"/>
    <x v="0"/>
    <s v="Yes"/>
    <x v="0"/>
    <n v="3"/>
    <n v="62"/>
  </r>
  <r>
    <x v="119"/>
    <x v="118"/>
    <x v="2"/>
    <d v="2024-06-24T00:00:00"/>
    <x v="0"/>
    <x v="2"/>
    <x v="1"/>
    <s v="No"/>
    <x v="1"/>
    <s v="Yes"/>
    <x v="0"/>
    <n v="15"/>
    <n v="15"/>
  </r>
  <r>
    <x v="120"/>
    <x v="119"/>
    <x v="1"/>
    <d v="2024-06-25T00:00:00"/>
    <x v="1"/>
    <x v="1"/>
    <x v="0"/>
    <s v="No"/>
    <x v="1"/>
    <s v="No"/>
    <x v="1"/>
    <n v="1"/>
    <n v="4"/>
  </r>
  <r>
    <x v="121"/>
    <x v="120"/>
    <x v="0"/>
    <d v="2024-06-26T00:00:00"/>
    <x v="0"/>
    <x v="0"/>
    <x v="2"/>
    <s v="Yes"/>
    <x v="0"/>
    <s v="Yes"/>
    <x v="0"/>
    <n v="7"/>
    <n v="58"/>
  </r>
  <r>
    <x v="122"/>
    <x v="121"/>
    <x v="2"/>
    <d v="2024-06-27T00:00:00"/>
    <x v="1"/>
    <x v="2"/>
    <x v="0"/>
    <s v="No"/>
    <x v="1"/>
    <s v="Yes"/>
    <x v="0"/>
    <n v="10"/>
    <n v="20"/>
  </r>
  <r>
    <x v="123"/>
    <x v="122"/>
    <x v="1"/>
    <d v="2024-06-28T00:00:00"/>
    <x v="0"/>
    <x v="1"/>
    <x v="1"/>
    <s v="No"/>
    <x v="1"/>
    <s v="No"/>
    <x v="1"/>
    <n v="0"/>
    <n v="5"/>
  </r>
  <r>
    <x v="124"/>
    <x v="123"/>
    <x v="0"/>
    <d v="2024-06-29T00:00:00"/>
    <x v="1"/>
    <x v="0"/>
    <x v="0"/>
    <s v="Yes"/>
    <x v="0"/>
    <s v="Yes"/>
    <x v="0"/>
    <n v="20"/>
    <n v="45"/>
  </r>
  <r>
    <x v="125"/>
    <x v="124"/>
    <x v="2"/>
    <d v="2024-06-30T00:00:00"/>
    <x v="0"/>
    <x v="2"/>
    <x v="2"/>
    <s v="No"/>
    <x v="1"/>
    <s v="Yes"/>
    <x v="0"/>
    <n v="15"/>
    <n v="15"/>
  </r>
  <r>
    <x v="126"/>
    <x v="125"/>
    <x v="1"/>
    <d v="2024-07-01T00:00:00"/>
    <x v="1"/>
    <x v="1"/>
    <x v="0"/>
    <s v="No"/>
    <x v="1"/>
    <s v="No"/>
    <x v="1"/>
    <n v="1"/>
    <n v="4"/>
  </r>
  <r>
    <x v="127"/>
    <x v="126"/>
    <x v="0"/>
    <d v="2024-07-02T00:00:00"/>
    <x v="0"/>
    <x v="0"/>
    <x v="1"/>
    <s v="Yes"/>
    <x v="0"/>
    <s v="Yes"/>
    <x v="0"/>
    <n v="3"/>
    <n v="62"/>
  </r>
  <r>
    <x v="128"/>
    <x v="127"/>
    <x v="2"/>
    <d v="2024-07-03T00:00:00"/>
    <x v="1"/>
    <x v="2"/>
    <x v="0"/>
    <s v="No"/>
    <x v="1"/>
    <s v="Yes"/>
    <x v="0"/>
    <n v="10"/>
    <n v="20"/>
  </r>
  <r>
    <x v="129"/>
    <x v="128"/>
    <x v="1"/>
    <d v="2024-07-04T00:00:00"/>
    <x v="0"/>
    <x v="1"/>
    <x v="2"/>
    <s v="No"/>
    <x v="1"/>
    <s v="No"/>
    <x v="1"/>
    <n v="0"/>
    <n v="5"/>
  </r>
  <r>
    <x v="130"/>
    <x v="129"/>
    <x v="0"/>
    <d v="2024-07-05T00:00:00"/>
    <x v="1"/>
    <x v="0"/>
    <x v="0"/>
    <s v="Yes"/>
    <x v="0"/>
    <s v="Yes"/>
    <x v="0"/>
    <n v="15"/>
    <n v="50"/>
  </r>
  <r>
    <x v="131"/>
    <x v="130"/>
    <x v="2"/>
    <d v="2024-07-06T00:00:00"/>
    <x v="0"/>
    <x v="2"/>
    <x v="1"/>
    <s v="No"/>
    <x v="1"/>
    <s v="Yes"/>
    <x v="0"/>
    <n v="15"/>
    <n v="15"/>
  </r>
  <r>
    <x v="132"/>
    <x v="131"/>
    <x v="1"/>
    <d v="2024-07-07T00:00:00"/>
    <x v="1"/>
    <x v="1"/>
    <x v="0"/>
    <s v="No"/>
    <x v="1"/>
    <s v="No"/>
    <x v="1"/>
    <n v="1"/>
    <n v="4"/>
  </r>
  <r>
    <x v="133"/>
    <x v="132"/>
    <x v="0"/>
    <d v="2024-07-08T00:00:00"/>
    <x v="0"/>
    <x v="0"/>
    <x v="2"/>
    <s v="Yes"/>
    <x v="0"/>
    <s v="Yes"/>
    <x v="0"/>
    <n v="7"/>
    <n v="58"/>
  </r>
  <r>
    <x v="134"/>
    <x v="133"/>
    <x v="2"/>
    <d v="2024-07-09T00:00:00"/>
    <x v="1"/>
    <x v="2"/>
    <x v="0"/>
    <s v="No"/>
    <x v="1"/>
    <s v="Yes"/>
    <x v="0"/>
    <n v="10"/>
    <n v="20"/>
  </r>
  <r>
    <x v="135"/>
    <x v="134"/>
    <x v="1"/>
    <d v="2024-07-10T00:00:00"/>
    <x v="0"/>
    <x v="1"/>
    <x v="0"/>
    <s v="No"/>
    <x v="1"/>
    <s v="No"/>
    <x v="1"/>
    <n v="0"/>
    <n v="5"/>
  </r>
  <r>
    <x v="136"/>
    <x v="135"/>
    <x v="0"/>
    <d v="2024-07-11T00:00:00"/>
    <x v="1"/>
    <x v="0"/>
    <x v="2"/>
    <s v="Yes"/>
    <x v="0"/>
    <s v="Yes"/>
    <x v="0"/>
    <n v="7"/>
    <n v="58"/>
  </r>
  <r>
    <x v="137"/>
    <x v="136"/>
    <x v="2"/>
    <d v="2024-07-12T00:00:00"/>
    <x v="0"/>
    <x v="2"/>
    <x v="1"/>
    <s v="No"/>
    <x v="1"/>
    <s v="Yes"/>
    <x v="0"/>
    <n v="10"/>
    <n v="20"/>
  </r>
  <r>
    <x v="138"/>
    <x v="137"/>
    <x v="1"/>
    <d v="2024-07-13T00:00:00"/>
    <x v="1"/>
    <x v="1"/>
    <x v="2"/>
    <s v="No"/>
    <x v="1"/>
    <s v="No"/>
    <x v="1"/>
    <n v="1"/>
    <n v="4"/>
  </r>
  <r>
    <x v="139"/>
    <x v="138"/>
    <x v="0"/>
    <d v="2024-07-14T00:00:00"/>
    <x v="0"/>
    <x v="0"/>
    <x v="0"/>
    <s v="Yes"/>
    <x v="0"/>
    <s v="Yes"/>
    <x v="0"/>
    <n v="15"/>
    <n v="50"/>
  </r>
  <r>
    <x v="140"/>
    <x v="139"/>
    <x v="2"/>
    <d v="2024-07-15T00:00:00"/>
    <x v="1"/>
    <x v="2"/>
    <x v="0"/>
    <s v="No"/>
    <x v="1"/>
    <s v="Yes"/>
    <x v="0"/>
    <n v="5"/>
    <n v="25"/>
  </r>
  <r>
    <x v="141"/>
    <x v="140"/>
    <x v="1"/>
    <d v="2024-07-16T00:00:00"/>
    <x v="0"/>
    <x v="1"/>
    <x v="1"/>
    <s v="No"/>
    <x v="1"/>
    <s v="No"/>
    <x v="1"/>
    <n v="0"/>
    <n v="5"/>
  </r>
  <r>
    <x v="142"/>
    <x v="141"/>
    <x v="0"/>
    <d v="2024-07-17T00:00:00"/>
    <x v="1"/>
    <x v="0"/>
    <x v="2"/>
    <s v="Yes"/>
    <x v="0"/>
    <s v="Yes"/>
    <x v="0"/>
    <n v="20"/>
    <n v="45"/>
  </r>
  <r>
    <x v="143"/>
    <x v="142"/>
    <x v="2"/>
    <d v="2024-07-18T00:00:00"/>
    <x v="0"/>
    <x v="2"/>
    <x v="2"/>
    <s v="No"/>
    <x v="1"/>
    <s v="Yes"/>
    <x v="0"/>
    <n v="12"/>
    <n v="18"/>
  </r>
  <r>
    <x v="144"/>
    <x v="143"/>
    <x v="1"/>
    <d v="2024-07-19T00:00:00"/>
    <x v="1"/>
    <x v="1"/>
    <x v="0"/>
    <s v="No"/>
    <x v="1"/>
    <s v="No"/>
    <x v="1"/>
    <n v="2"/>
    <n v="3"/>
  </r>
  <r>
    <x v="145"/>
    <x v="144"/>
    <x v="0"/>
    <d v="2024-07-20T00:00:00"/>
    <x v="0"/>
    <x v="0"/>
    <x v="1"/>
    <s v="Yes"/>
    <x v="0"/>
    <s v="Yes"/>
    <x v="0"/>
    <n v="5"/>
    <n v="60"/>
  </r>
  <r>
    <x v="146"/>
    <x v="145"/>
    <x v="2"/>
    <d v="2024-07-21T00:00:00"/>
    <x v="1"/>
    <x v="2"/>
    <x v="0"/>
    <s v="No"/>
    <x v="1"/>
    <s v="Yes"/>
    <x v="0"/>
    <n v="10"/>
    <n v="20"/>
  </r>
  <r>
    <x v="147"/>
    <x v="146"/>
    <x v="1"/>
    <d v="2024-07-22T00:00:00"/>
    <x v="0"/>
    <x v="1"/>
    <x v="2"/>
    <s v="No"/>
    <x v="1"/>
    <s v="No"/>
    <x v="1"/>
    <n v="0"/>
    <n v="5"/>
  </r>
  <r>
    <x v="148"/>
    <x v="147"/>
    <x v="0"/>
    <d v="2024-07-23T00:00:00"/>
    <x v="1"/>
    <x v="0"/>
    <x v="0"/>
    <s v="Yes"/>
    <x v="0"/>
    <s v="Yes"/>
    <x v="0"/>
    <n v="3"/>
    <n v="62"/>
  </r>
  <r>
    <x v="149"/>
    <x v="148"/>
    <x v="2"/>
    <d v="2024-07-24T00:00:00"/>
    <x v="0"/>
    <x v="2"/>
    <x v="1"/>
    <s v="No"/>
    <x v="1"/>
    <s v="Yes"/>
    <x v="0"/>
    <n v="15"/>
    <n v="15"/>
  </r>
  <r>
    <x v="150"/>
    <x v="149"/>
    <x v="1"/>
    <d v="2024-07-25T00:00:00"/>
    <x v="1"/>
    <x v="1"/>
    <x v="0"/>
    <s v="No"/>
    <x v="1"/>
    <s v="No"/>
    <x v="1"/>
    <n v="1"/>
    <n v="4"/>
  </r>
  <r>
    <x v="151"/>
    <x v="150"/>
    <x v="0"/>
    <d v="2024-07-26T00:00:00"/>
    <x v="0"/>
    <x v="0"/>
    <x v="2"/>
    <s v="Yes"/>
    <x v="0"/>
    <s v="Yes"/>
    <x v="0"/>
    <n v="7"/>
    <n v="58"/>
  </r>
  <r>
    <x v="152"/>
    <x v="151"/>
    <x v="2"/>
    <d v="2024-07-27T00:00:00"/>
    <x v="1"/>
    <x v="2"/>
    <x v="0"/>
    <s v="No"/>
    <x v="1"/>
    <s v="Yes"/>
    <x v="0"/>
    <n v="10"/>
    <n v="20"/>
  </r>
  <r>
    <x v="153"/>
    <x v="152"/>
    <x v="1"/>
    <d v="2024-07-28T00:00:00"/>
    <x v="0"/>
    <x v="1"/>
    <x v="1"/>
    <s v="No"/>
    <x v="1"/>
    <s v="No"/>
    <x v="1"/>
    <n v="0"/>
    <n v="5"/>
  </r>
  <r>
    <x v="154"/>
    <x v="153"/>
    <x v="0"/>
    <d v="2024-07-29T00:00:00"/>
    <x v="1"/>
    <x v="0"/>
    <x v="0"/>
    <s v="Yes"/>
    <x v="0"/>
    <s v="Yes"/>
    <x v="0"/>
    <n v="20"/>
    <n v="45"/>
  </r>
  <r>
    <x v="155"/>
    <x v="154"/>
    <x v="2"/>
    <d v="2024-07-30T00:00:00"/>
    <x v="0"/>
    <x v="2"/>
    <x v="2"/>
    <s v="No"/>
    <x v="1"/>
    <s v="Yes"/>
    <x v="0"/>
    <n v="15"/>
    <n v="15"/>
  </r>
  <r>
    <x v="156"/>
    <x v="155"/>
    <x v="1"/>
    <d v="2024-07-31T00:00:00"/>
    <x v="1"/>
    <x v="1"/>
    <x v="0"/>
    <s v="No"/>
    <x v="1"/>
    <s v="No"/>
    <x v="1"/>
    <n v="1"/>
    <n v="4"/>
  </r>
  <r>
    <x v="157"/>
    <x v="156"/>
    <x v="0"/>
    <d v="2024-08-01T00:00:00"/>
    <x v="0"/>
    <x v="0"/>
    <x v="1"/>
    <s v="Yes"/>
    <x v="0"/>
    <s v="Yes"/>
    <x v="0"/>
    <n v="3"/>
    <n v="62"/>
  </r>
  <r>
    <x v="158"/>
    <x v="157"/>
    <x v="2"/>
    <d v="2024-08-02T00:00:00"/>
    <x v="1"/>
    <x v="2"/>
    <x v="0"/>
    <s v="No"/>
    <x v="1"/>
    <s v="Yes"/>
    <x v="0"/>
    <n v="10"/>
    <n v="20"/>
  </r>
  <r>
    <x v="159"/>
    <x v="158"/>
    <x v="1"/>
    <d v="2024-08-03T00:00:00"/>
    <x v="0"/>
    <x v="1"/>
    <x v="2"/>
    <s v="No"/>
    <x v="1"/>
    <s v="No"/>
    <x v="1"/>
    <n v="0"/>
    <n v="5"/>
  </r>
  <r>
    <x v="160"/>
    <x v="58"/>
    <x v="0"/>
    <d v="2024-08-04T00:00:00"/>
    <x v="1"/>
    <x v="0"/>
    <x v="0"/>
    <s v="Yes"/>
    <x v="0"/>
    <s v="Yes"/>
    <x v="0"/>
    <n v="15"/>
    <n v="50"/>
  </r>
  <r>
    <x v="161"/>
    <x v="159"/>
    <x v="2"/>
    <d v="2024-08-05T00:00:00"/>
    <x v="0"/>
    <x v="2"/>
    <x v="1"/>
    <s v="No"/>
    <x v="1"/>
    <s v="Yes"/>
    <x v="0"/>
    <n v="15"/>
    <n v="15"/>
  </r>
  <r>
    <x v="162"/>
    <x v="160"/>
    <x v="1"/>
    <d v="2024-08-06T00:00:00"/>
    <x v="1"/>
    <x v="1"/>
    <x v="0"/>
    <s v="No"/>
    <x v="1"/>
    <s v="No"/>
    <x v="1"/>
    <n v="1"/>
    <n v="4"/>
  </r>
  <r>
    <x v="163"/>
    <x v="161"/>
    <x v="0"/>
    <d v="2024-08-07T00:00:00"/>
    <x v="0"/>
    <x v="0"/>
    <x v="2"/>
    <s v="Yes"/>
    <x v="0"/>
    <s v="Yes"/>
    <x v="0"/>
    <n v="7"/>
    <n v="58"/>
  </r>
  <r>
    <x v="164"/>
    <x v="162"/>
    <x v="2"/>
    <d v="2024-08-08T00:00:00"/>
    <x v="1"/>
    <x v="2"/>
    <x v="0"/>
    <s v="No"/>
    <x v="1"/>
    <s v="Yes"/>
    <x v="0"/>
    <n v="10"/>
    <n v="20"/>
  </r>
  <r>
    <x v="165"/>
    <x v="163"/>
    <x v="1"/>
    <d v="2024-08-09T00:00:00"/>
    <x v="0"/>
    <x v="1"/>
    <x v="1"/>
    <s v="No"/>
    <x v="1"/>
    <s v="No"/>
    <x v="1"/>
    <n v="0"/>
    <n v="5"/>
  </r>
  <r>
    <x v="166"/>
    <x v="90"/>
    <x v="0"/>
    <d v="2024-08-10T00:00:00"/>
    <x v="1"/>
    <x v="0"/>
    <x v="0"/>
    <s v="Yes"/>
    <x v="0"/>
    <s v="Yes"/>
    <x v="0"/>
    <n v="20"/>
    <n v="45"/>
  </r>
  <r>
    <x v="167"/>
    <x v="164"/>
    <x v="2"/>
    <d v="2024-08-11T00:00:00"/>
    <x v="0"/>
    <x v="2"/>
    <x v="2"/>
    <s v="No"/>
    <x v="1"/>
    <s v="Yes"/>
    <x v="0"/>
    <n v="15"/>
    <n v="15"/>
  </r>
  <r>
    <x v="168"/>
    <x v="165"/>
    <x v="1"/>
    <d v="2024-08-12T00:00:00"/>
    <x v="1"/>
    <x v="1"/>
    <x v="0"/>
    <s v="No"/>
    <x v="1"/>
    <s v="No"/>
    <x v="1"/>
    <n v="1"/>
    <n v="4"/>
  </r>
  <r>
    <x v="169"/>
    <x v="166"/>
    <x v="0"/>
    <d v="2024-08-13T00:00:00"/>
    <x v="0"/>
    <x v="0"/>
    <x v="1"/>
    <s v="Yes"/>
    <x v="0"/>
    <s v="Yes"/>
    <x v="0"/>
    <n v="5"/>
    <n v="60"/>
  </r>
  <r>
    <x v="170"/>
    <x v="167"/>
    <x v="2"/>
    <d v="2024-08-14T00:00:00"/>
    <x v="1"/>
    <x v="2"/>
    <x v="0"/>
    <s v="No"/>
    <x v="1"/>
    <s v="Yes"/>
    <x v="0"/>
    <n v="10"/>
    <n v="20"/>
  </r>
  <r>
    <x v="171"/>
    <x v="168"/>
    <x v="1"/>
    <d v="2024-08-15T00:00:00"/>
    <x v="0"/>
    <x v="1"/>
    <x v="2"/>
    <s v="No"/>
    <x v="1"/>
    <s v="No"/>
    <x v="1"/>
    <n v="0"/>
    <n v="5"/>
  </r>
  <r>
    <x v="172"/>
    <x v="169"/>
    <x v="0"/>
    <d v="2024-08-16T00:00:00"/>
    <x v="1"/>
    <x v="0"/>
    <x v="0"/>
    <s v="Yes"/>
    <x v="0"/>
    <s v="Yes"/>
    <x v="0"/>
    <n v="3"/>
    <n v="62"/>
  </r>
  <r>
    <x v="173"/>
    <x v="170"/>
    <x v="2"/>
    <d v="2024-08-17T00:00:00"/>
    <x v="0"/>
    <x v="2"/>
    <x v="1"/>
    <s v="No"/>
    <x v="1"/>
    <s v="Yes"/>
    <x v="0"/>
    <n v="15"/>
    <n v="15"/>
  </r>
  <r>
    <x v="174"/>
    <x v="171"/>
    <x v="1"/>
    <d v="2024-08-18T00:00:00"/>
    <x v="1"/>
    <x v="1"/>
    <x v="0"/>
    <s v="No"/>
    <x v="1"/>
    <s v="No"/>
    <x v="1"/>
    <n v="1"/>
    <n v="4"/>
  </r>
  <r>
    <x v="175"/>
    <x v="172"/>
    <x v="1"/>
    <d v="2024-08-19T00:00:00"/>
    <x v="0"/>
    <x v="1"/>
    <x v="0"/>
    <s v="No"/>
    <x v="1"/>
    <s v="No"/>
    <x v="1"/>
    <n v="0"/>
    <n v="5"/>
  </r>
  <r>
    <x v="176"/>
    <x v="173"/>
    <x v="0"/>
    <d v="2024-08-20T00:00:00"/>
    <x v="1"/>
    <x v="0"/>
    <x v="2"/>
    <s v="Yes"/>
    <x v="0"/>
    <s v="Yes"/>
    <x v="0"/>
    <n v="7"/>
    <n v="58"/>
  </r>
  <r>
    <x v="177"/>
    <x v="174"/>
    <x v="2"/>
    <d v="2024-08-21T00:00:00"/>
    <x v="0"/>
    <x v="2"/>
    <x v="1"/>
    <s v="No"/>
    <x v="1"/>
    <s v="Yes"/>
    <x v="0"/>
    <n v="10"/>
    <n v="20"/>
  </r>
  <r>
    <x v="178"/>
    <x v="175"/>
    <x v="1"/>
    <d v="2024-08-22T00:00:00"/>
    <x v="1"/>
    <x v="1"/>
    <x v="2"/>
    <s v="No"/>
    <x v="1"/>
    <s v="No"/>
    <x v="1"/>
    <n v="1"/>
    <n v="4"/>
  </r>
  <r>
    <x v="179"/>
    <x v="176"/>
    <x v="0"/>
    <d v="2024-08-23T00:00:00"/>
    <x v="0"/>
    <x v="0"/>
    <x v="0"/>
    <s v="Yes"/>
    <x v="0"/>
    <s v="Yes"/>
    <x v="0"/>
    <n v="15"/>
    <n v="50"/>
  </r>
  <r>
    <x v="180"/>
    <x v="177"/>
    <x v="2"/>
    <d v="2024-08-24T00:00:00"/>
    <x v="1"/>
    <x v="2"/>
    <x v="0"/>
    <s v="No"/>
    <x v="1"/>
    <s v="Yes"/>
    <x v="0"/>
    <n v="5"/>
    <n v="25"/>
  </r>
  <r>
    <x v="181"/>
    <x v="178"/>
    <x v="1"/>
    <d v="2024-08-25T00:00:00"/>
    <x v="0"/>
    <x v="1"/>
    <x v="1"/>
    <s v="No"/>
    <x v="1"/>
    <s v="No"/>
    <x v="1"/>
    <n v="0"/>
    <n v="5"/>
  </r>
  <r>
    <x v="182"/>
    <x v="179"/>
    <x v="0"/>
    <d v="2024-08-26T00:00:00"/>
    <x v="1"/>
    <x v="0"/>
    <x v="2"/>
    <s v="Yes"/>
    <x v="0"/>
    <s v="Yes"/>
    <x v="0"/>
    <n v="20"/>
    <n v="45"/>
  </r>
  <r>
    <x v="183"/>
    <x v="180"/>
    <x v="2"/>
    <d v="2024-08-27T00:00:00"/>
    <x v="0"/>
    <x v="2"/>
    <x v="2"/>
    <s v="No"/>
    <x v="1"/>
    <s v="Yes"/>
    <x v="0"/>
    <n v="12"/>
    <n v="18"/>
  </r>
  <r>
    <x v="184"/>
    <x v="181"/>
    <x v="1"/>
    <d v="2024-08-28T00:00:00"/>
    <x v="1"/>
    <x v="1"/>
    <x v="0"/>
    <s v="No"/>
    <x v="1"/>
    <s v="No"/>
    <x v="1"/>
    <n v="2"/>
    <n v="3"/>
  </r>
  <r>
    <x v="185"/>
    <x v="182"/>
    <x v="0"/>
    <d v="2024-08-29T00:00:00"/>
    <x v="0"/>
    <x v="0"/>
    <x v="1"/>
    <s v="Yes"/>
    <x v="0"/>
    <s v="Yes"/>
    <x v="0"/>
    <n v="5"/>
    <n v="60"/>
  </r>
  <r>
    <x v="186"/>
    <x v="183"/>
    <x v="2"/>
    <d v="2024-08-30T00:00:00"/>
    <x v="1"/>
    <x v="2"/>
    <x v="0"/>
    <s v="No"/>
    <x v="1"/>
    <s v="Yes"/>
    <x v="0"/>
    <n v="10"/>
    <n v="20"/>
  </r>
  <r>
    <x v="187"/>
    <x v="184"/>
    <x v="1"/>
    <d v="2024-08-31T00:00:00"/>
    <x v="0"/>
    <x v="1"/>
    <x v="2"/>
    <s v="No"/>
    <x v="1"/>
    <s v="No"/>
    <x v="1"/>
    <n v="0"/>
    <n v="5"/>
  </r>
  <r>
    <x v="188"/>
    <x v="185"/>
    <x v="0"/>
    <d v="2024-09-01T00:00:00"/>
    <x v="1"/>
    <x v="0"/>
    <x v="0"/>
    <s v="Yes"/>
    <x v="0"/>
    <s v="Yes"/>
    <x v="0"/>
    <n v="3"/>
    <n v="62"/>
  </r>
  <r>
    <x v="189"/>
    <x v="186"/>
    <x v="2"/>
    <d v="2024-09-02T00:00:00"/>
    <x v="0"/>
    <x v="2"/>
    <x v="1"/>
    <s v="No"/>
    <x v="1"/>
    <s v="Yes"/>
    <x v="0"/>
    <n v="15"/>
    <n v="15"/>
  </r>
  <r>
    <x v="190"/>
    <x v="15"/>
    <x v="1"/>
    <d v="2024-09-03T00:00:00"/>
    <x v="1"/>
    <x v="1"/>
    <x v="0"/>
    <s v="No"/>
    <x v="1"/>
    <s v="No"/>
    <x v="1"/>
    <n v="1"/>
    <n v="4"/>
  </r>
  <r>
    <x v="191"/>
    <x v="187"/>
    <x v="0"/>
    <d v="2024-09-04T00:00:00"/>
    <x v="0"/>
    <x v="0"/>
    <x v="2"/>
    <s v="Yes"/>
    <x v="0"/>
    <s v="Yes"/>
    <x v="0"/>
    <n v="7"/>
    <n v="58"/>
  </r>
  <r>
    <x v="192"/>
    <x v="188"/>
    <x v="2"/>
    <d v="2024-09-05T00:00:00"/>
    <x v="1"/>
    <x v="2"/>
    <x v="0"/>
    <s v="No"/>
    <x v="1"/>
    <s v="Yes"/>
    <x v="0"/>
    <n v="10"/>
    <n v="20"/>
  </r>
  <r>
    <x v="193"/>
    <x v="14"/>
    <x v="1"/>
    <d v="2024-09-06T00:00:00"/>
    <x v="0"/>
    <x v="1"/>
    <x v="1"/>
    <s v="No"/>
    <x v="1"/>
    <s v="No"/>
    <x v="1"/>
    <n v="0"/>
    <n v="5"/>
  </r>
  <r>
    <x v="194"/>
    <x v="189"/>
    <x v="0"/>
    <d v="2024-09-07T00:00:00"/>
    <x v="1"/>
    <x v="0"/>
    <x v="0"/>
    <s v="Yes"/>
    <x v="0"/>
    <s v="Yes"/>
    <x v="0"/>
    <n v="20"/>
    <n v="45"/>
  </r>
  <r>
    <x v="195"/>
    <x v="167"/>
    <x v="2"/>
    <d v="2024-09-08T00:00:00"/>
    <x v="0"/>
    <x v="2"/>
    <x v="2"/>
    <s v="No"/>
    <x v="1"/>
    <s v="Yes"/>
    <x v="0"/>
    <n v="15"/>
    <n v="15"/>
  </r>
  <r>
    <x v="196"/>
    <x v="190"/>
    <x v="1"/>
    <d v="2024-09-09T00:00:00"/>
    <x v="1"/>
    <x v="1"/>
    <x v="0"/>
    <s v="No"/>
    <x v="1"/>
    <s v="No"/>
    <x v="1"/>
    <n v="1"/>
    <n v="4"/>
  </r>
  <r>
    <x v="197"/>
    <x v="191"/>
    <x v="0"/>
    <d v="2024-09-10T00:00:00"/>
    <x v="0"/>
    <x v="0"/>
    <x v="1"/>
    <s v="Yes"/>
    <x v="0"/>
    <s v="Yes"/>
    <x v="0"/>
    <n v="3"/>
    <n v="62"/>
  </r>
  <r>
    <x v="198"/>
    <x v="192"/>
    <x v="2"/>
    <d v="2024-09-11T00:00:00"/>
    <x v="1"/>
    <x v="2"/>
    <x v="0"/>
    <s v="No"/>
    <x v="1"/>
    <s v="Yes"/>
    <x v="0"/>
    <n v="10"/>
    <n v="20"/>
  </r>
  <r>
    <x v="199"/>
    <x v="193"/>
    <x v="1"/>
    <d v="2024-09-12T00:00:00"/>
    <x v="0"/>
    <x v="1"/>
    <x v="2"/>
    <s v="No"/>
    <x v="1"/>
    <s v="No"/>
    <x v="1"/>
    <n v="0"/>
    <n v="5"/>
  </r>
  <r>
    <x v="200"/>
    <x v="194"/>
    <x v="0"/>
    <d v="2024-09-13T00:00:00"/>
    <x v="1"/>
    <x v="0"/>
    <x v="0"/>
    <s v="Yes"/>
    <x v="0"/>
    <s v="Yes"/>
    <x v="0"/>
    <n v="15"/>
    <n v="50"/>
  </r>
  <r>
    <x v="201"/>
    <x v="195"/>
    <x v="2"/>
    <d v="2024-09-14T00:00:00"/>
    <x v="0"/>
    <x v="2"/>
    <x v="1"/>
    <s v="No"/>
    <x v="1"/>
    <s v="Yes"/>
    <x v="0"/>
    <n v="15"/>
    <n v="15"/>
  </r>
  <r>
    <x v="202"/>
    <x v="196"/>
    <x v="1"/>
    <d v="2024-09-15T00:00:00"/>
    <x v="1"/>
    <x v="1"/>
    <x v="0"/>
    <s v="No"/>
    <x v="1"/>
    <s v="No"/>
    <x v="1"/>
    <n v="1"/>
    <n v="4"/>
  </r>
  <r>
    <x v="203"/>
    <x v="197"/>
    <x v="0"/>
    <d v="2024-09-16T00:00:00"/>
    <x v="0"/>
    <x v="0"/>
    <x v="2"/>
    <s v="Yes"/>
    <x v="0"/>
    <s v="Yes"/>
    <x v="0"/>
    <n v="7"/>
    <n v="58"/>
  </r>
  <r>
    <x v="204"/>
    <x v="198"/>
    <x v="2"/>
    <d v="2024-09-17T00:00:00"/>
    <x v="1"/>
    <x v="2"/>
    <x v="0"/>
    <s v="No"/>
    <x v="1"/>
    <s v="Yes"/>
    <x v="0"/>
    <n v="10"/>
    <n v="20"/>
  </r>
  <r>
    <x v="205"/>
    <x v="199"/>
    <x v="1"/>
    <d v="2024-09-18T00:00:00"/>
    <x v="0"/>
    <x v="1"/>
    <x v="0"/>
    <s v="No"/>
    <x v="1"/>
    <s v="No"/>
    <x v="1"/>
    <n v="0"/>
    <n v="5"/>
  </r>
  <r>
    <x v="206"/>
    <x v="200"/>
    <x v="0"/>
    <d v="2024-09-19T00:00:00"/>
    <x v="1"/>
    <x v="0"/>
    <x v="2"/>
    <s v="Yes"/>
    <x v="0"/>
    <s v="Yes"/>
    <x v="0"/>
    <n v="7"/>
    <n v="58"/>
  </r>
  <r>
    <x v="207"/>
    <x v="201"/>
    <x v="2"/>
    <d v="2024-09-20T00:00:00"/>
    <x v="0"/>
    <x v="2"/>
    <x v="1"/>
    <s v="No"/>
    <x v="1"/>
    <s v="Yes"/>
    <x v="0"/>
    <n v="10"/>
    <n v="20"/>
  </r>
  <r>
    <x v="208"/>
    <x v="202"/>
    <x v="1"/>
    <d v="2024-09-21T00:00:00"/>
    <x v="1"/>
    <x v="1"/>
    <x v="2"/>
    <s v="No"/>
    <x v="1"/>
    <s v="No"/>
    <x v="1"/>
    <n v="1"/>
    <n v="4"/>
  </r>
  <r>
    <x v="209"/>
    <x v="203"/>
    <x v="0"/>
    <d v="2024-09-22T00:00:00"/>
    <x v="0"/>
    <x v="0"/>
    <x v="0"/>
    <s v="Yes"/>
    <x v="0"/>
    <s v="Yes"/>
    <x v="0"/>
    <n v="15"/>
    <n v="50"/>
  </r>
  <r>
    <x v="210"/>
    <x v="204"/>
    <x v="2"/>
    <d v="2024-09-23T00:00:00"/>
    <x v="1"/>
    <x v="2"/>
    <x v="0"/>
    <s v="No"/>
    <x v="1"/>
    <s v="Yes"/>
    <x v="0"/>
    <n v="5"/>
    <n v="25"/>
  </r>
  <r>
    <x v="211"/>
    <x v="205"/>
    <x v="1"/>
    <d v="2024-09-24T00:00:00"/>
    <x v="0"/>
    <x v="1"/>
    <x v="1"/>
    <s v="No"/>
    <x v="1"/>
    <s v="No"/>
    <x v="1"/>
    <n v="0"/>
    <n v="5"/>
  </r>
  <r>
    <x v="212"/>
    <x v="206"/>
    <x v="0"/>
    <d v="2024-09-25T00:00:00"/>
    <x v="1"/>
    <x v="0"/>
    <x v="2"/>
    <s v="Yes"/>
    <x v="0"/>
    <s v="Yes"/>
    <x v="0"/>
    <n v="20"/>
    <n v="45"/>
  </r>
  <r>
    <x v="213"/>
    <x v="207"/>
    <x v="2"/>
    <d v="2024-09-26T00:00:00"/>
    <x v="0"/>
    <x v="2"/>
    <x v="2"/>
    <s v="No"/>
    <x v="1"/>
    <s v="Yes"/>
    <x v="0"/>
    <n v="12"/>
    <n v="18"/>
  </r>
  <r>
    <x v="214"/>
    <x v="37"/>
    <x v="1"/>
    <d v="2024-09-27T00:00:00"/>
    <x v="1"/>
    <x v="1"/>
    <x v="0"/>
    <s v="No"/>
    <x v="1"/>
    <s v="No"/>
    <x v="1"/>
    <n v="2"/>
    <n v="3"/>
  </r>
  <r>
    <x v="215"/>
    <x v="208"/>
    <x v="0"/>
    <d v="2024-09-28T00:00:00"/>
    <x v="0"/>
    <x v="0"/>
    <x v="1"/>
    <s v="Yes"/>
    <x v="0"/>
    <s v="Yes"/>
    <x v="0"/>
    <n v="5"/>
    <n v="60"/>
  </r>
  <r>
    <x v="216"/>
    <x v="209"/>
    <x v="2"/>
    <d v="2024-09-29T00:00:00"/>
    <x v="1"/>
    <x v="2"/>
    <x v="0"/>
    <s v="No"/>
    <x v="1"/>
    <s v="Yes"/>
    <x v="0"/>
    <n v="10"/>
    <n v="20"/>
  </r>
  <r>
    <x v="217"/>
    <x v="210"/>
    <x v="1"/>
    <d v="2024-09-30T00:00:00"/>
    <x v="0"/>
    <x v="1"/>
    <x v="2"/>
    <s v="No"/>
    <x v="1"/>
    <s v="No"/>
    <x v="1"/>
    <n v="0"/>
    <n v="5"/>
  </r>
  <r>
    <x v="218"/>
    <x v="211"/>
    <x v="0"/>
    <d v="2024-10-01T00:00:00"/>
    <x v="1"/>
    <x v="0"/>
    <x v="0"/>
    <s v="Yes"/>
    <x v="0"/>
    <s v="Yes"/>
    <x v="0"/>
    <n v="3"/>
    <n v="62"/>
  </r>
  <r>
    <x v="219"/>
    <x v="212"/>
    <x v="2"/>
    <d v="2024-10-02T00:00:00"/>
    <x v="0"/>
    <x v="2"/>
    <x v="1"/>
    <s v="No"/>
    <x v="1"/>
    <s v="Yes"/>
    <x v="0"/>
    <n v="15"/>
    <n v="15"/>
  </r>
  <r>
    <x v="220"/>
    <x v="213"/>
    <x v="1"/>
    <d v="2024-10-03T00:00:00"/>
    <x v="1"/>
    <x v="1"/>
    <x v="0"/>
    <s v="No"/>
    <x v="1"/>
    <s v="No"/>
    <x v="1"/>
    <n v="1"/>
    <n v="4"/>
  </r>
  <r>
    <x v="221"/>
    <x v="191"/>
    <x v="0"/>
    <d v="2024-10-04T00:00:00"/>
    <x v="0"/>
    <x v="0"/>
    <x v="2"/>
    <s v="Yes"/>
    <x v="0"/>
    <s v="Yes"/>
    <x v="0"/>
    <n v="7"/>
    <n v="58"/>
  </r>
  <r>
    <x v="222"/>
    <x v="45"/>
    <x v="2"/>
    <d v="2024-10-05T00:00:00"/>
    <x v="1"/>
    <x v="2"/>
    <x v="0"/>
    <s v="No"/>
    <x v="1"/>
    <s v="Yes"/>
    <x v="0"/>
    <n v="10"/>
    <n v="20"/>
  </r>
  <r>
    <x v="223"/>
    <x v="214"/>
    <x v="1"/>
    <d v="2024-10-06T00:00:00"/>
    <x v="0"/>
    <x v="1"/>
    <x v="1"/>
    <s v="No"/>
    <x v="1"/>
    <s v="No"/>
    <x v="1"/>
    <n v="0"/>
    <n v="5"/>
  </r>
  <r>
    <x v="224"/>
    <x v="215"/>
    <x v="0"/>
    <d v="2024-10-07T00:00:00"/>
    <x v="1"/>
    <x v="0"/>
    <x v="0"/>
    <s v="Yes"/>
    <x v="0"/>
    <s v="Yes"/>
    <x v="0"/>
    <n v="20"/>
    <n v="45"/>
  </r>
  <r>
    <x v="225"/>
    <x v="216"/>
    <x v="2"/>
    <d v="2024-10-08T00:00:00"/>
    <x v="0"/>
    <x v="2"/>
    <x v="2"/>
    <s v="No"/>
    <x v="1"/>
    <s v="Yes"/>
    <x v="0"/>
    <n v="15"/>
    <n v="15"/>
  </r>
  <r>
    <x v="226"/>
    <x v="217"/>
    <x v="1"/>
    <d v="2024-10-09T00:00:00"/>
    <x v="1"/>
    <x v="1"/>
    <x v="0"/>
    <s v="No"/>
    <x v="1"/>
    <s v="No"/>
    <x v="1"/>
    <n v="1"/>
    <n v="4"/>
  </r>
  <r>
    <x v="227"/>
    <x v="218"/>
    <x v="0"/>
    <d v="2024-10-10T00:00:00"/>
    <x v="0"/>
    <x v="0"/>
    <x v="1"/>
    <s v="Yes"/>
    <x v="0"/>
    <s v="Yes"/>
    <x v="0"/>
    <n v="3"/>
    <n v="62"/>
  </r>
  <r>
    <x v="228"/>
    <x v="219"/>
    <x v="2"/>
    <d v="2024-10-11T00:00:00"/>
    <x v="1"/>
    <x v="2"/>
    <x v="0"/>
    <s v="No"/>
    <x v="1"/>
    <s v="Yes"/>
    <x v="0"/>
    <n v="10"/>
    <n v="20"/>
  </r>
  <r>
    <x v="229"/>
    <x v="127"/>
    <x v="1"/>
    <d v="2024-10-12T00:00:00"/>
    <x v="0"/>
    <x v="1"/>
    <x v="2"/>
    <s v="No"/>
    <x v="1"/>
    <s v="No"/>
    <x v="1"/>
    <n v="0"/>
    <n v="5"/>
  </r>
  <r>
    <x v="230"/>
    <x v="220"/>
    <x v="0"/>
    <d v="2024-10-13T00:00:00"/>
    <x v="1"/>
    <x v="0"/>
    <x v="0"/>
    <s v="Yes"/>
    <x v="0"/>
    <s v="Yes"/>
    <x v="0"/>
    <n v="15"/>
    <n v="50"/>
  </r>
  <r>
    <x v="231"/>
    <x v="221"/>
    <x v="2"/>
    <d v="2024-10-14T00:00:00"/>
    <x v="0"/>
    <x v="2"/>
    <x v="1"/>
    <s v="No"/>
    <x v="1"/>
    <s v="Yes"/>
    <x v="0"/>
    <n v="15"/>
    <n v="15"/>
  </r>
  <r>
    <x v="232"/>
    <x v="222"/>
    <x v="1"/>
    <d v="2024-10-15T00:00:00"/>
    <x v="1"/>
    <x v="1"/>
    <x v="0"/>
    <s v="No"/>
    <x v="1"/>
    <s v="No"/>
    <x v="1"/>
    <n v="1"/>
    <n v="4"/>
  </r>
  <r>
    <x v="233"/>
    <x v="223"/>
    <x v="0"/>
    <d v="2024-10-16T00:00:00"/>
    <x v="0"/>
    <x v="0"/>
    <x v="2"/>
    <s v="Yes"/>
    <x v="0"/>
    <s v="Yes"/>
    <x v="0"/>
    <n v="7"/>
    <n v="58"/>
  </r>
  <r>
    <x v="234"/>
    <x v="224"/>
    <x v="2"/>
    <d v="2024-10-17T00:00:00"/>
    <x v="1"/>
    <x v="2"/>
    <x v="0"/>
    <s v="No"/>
    <x v="1"/>
    <s v="Yes"/>
    <x v="0"/>
    <n v="10"/>
    <n v="20"/>
  </r>
  <r>
    <x v="235"/>
    <x v="225"/>
    <x v="1"/>
    <d v="2024-10-18T00:00:00"/>
    <x v="0"/>
    <x v="1"/>
    <x v="1"/>
    <s v="No"/>
    <x v="1"/>
    <s v="No"/>
    <x v="1"/>
    <n v="0"/>
    <n v="5"/>
  </r>
  <r>
    <x v="236"/>
    <x v="226"/>
    <x v="0"/>
    <d v="2024-10-19T00:00:00"/>
    <x v="1"/>
    <x v="0"/>
    <x v="0"/>
    <s v="Yes"/>
    <x v="0"/>
    <s v="Yes"/>
    <x v="0"/>
    <n v="15"/>
    <n v="50"/>
  </r>
  <r>
    <x v="237"/>
    <x v="227"/>
    <x v="2"/>
    <d v="2024-10-20T00:00:00"/>
    <x v="0"/>
    <x v="2"/>
    <x v="2"/>
    <s v="No"/>
    <x v="1"/>
    <s v="Yes"/>
    <x v="0"/>
    <n v="12"/>
    <n v="18"/>
  </r>
  <r>
    <x v="238"/>
    <x v="228"/>
    <x v="1"/>
    <d v="2024-10-21T00:00:00"/>
    <x v="1"/>
    <x v="1"/>
    <x v="0"/>
    <s v="No"/>
    <x v="1"/>
    <s v="No"/>
    <x v="1"/>
    <n v="2"/>
    <n v="3"/>
  </r>
  <r>
    <x v="239"/>
    <x v="229"/>
    <x v="0"/>
    <d v="2024-10-22T00:00:00"/>
    <x v="0"/>
    <x v="0"/>
    <x v="1"/>
    <s v="Yes"/>
    <x v="0"/>
    <s v="Yes"/>
    <x v="0"/>
    <n v="5"/>
    <n v="60"/>
  </r>
  <r>
    <x v="240"/>
    <x v="230"/>
    <x v="2"/>
    <d v="2024-10-23T00:00:00"/>
    <x v="1"/>
    <x v="2"/>
    <x v="0"/>
    <s v="No"/>
    <x v="1"/>
    <s v="Yes"/>
    <x v="0"/>
    <n v="10"/>
    <n v="20"/>
  </r>
  <r>
    <x v="241"/>
    <x v="231"/>
    <x v="1"/>
    <d v="2024-10-24T00:00:00"/>
    <x v="0"/>
    <x v="1"/>
    <x v="2"/>
    <s v="No"/>
    <x v="1"/>
    <s v="No"/>
    <x v="1"/>
    <n v="0"/>
    <n v="5"/>
  </r>
  <r>
    <x v="242"/>
    <x v="140"/>
    <x v="0"/>
    <d v="2024-10-25T00:00:00"/>
    <x v="1"/>
    <x v="0"/>
    <x v="0"/>
    <s v="Yes"/>
    <x v="0"/>
    <s v="Yes"/>
    <x v="0"/>
    <n v="3"/>
    <n v="62"/>
  </r>
  <r>
    <x v="243"/>
    <x v="232"/>
    <x v="2"/>
    <d v="2024-10-26T00:00:00"/>
    <x v="0"/>
    <x v="2"/>
    <x v="1"/>
    <s v="No"/>
    <x v="1"/>
    <s v="Yes"/>
    <x v="0"/>
    <n v="15"/>
    <n v="15"/>
  </r>
  <r>
    <x v="244"/>
    <x v="233"/>
    <x v="1"/>
    <d v="2024-10-27T00:00:00"/>
    <x v="1"/>
    <x v="1"/>
    <x v="0"/>
    <s v="No"/>
    <x v="1"/>
    <s v="No"/>
    <x v="1"/>
    <n v="1"/>
    <n v="4"/>
  </r>
  <r>
    <x v="245"/>
    <x v="234"/>
    <x v="0"/>
    <d v="2024-10-28T00:00:00"/>
    <x v="0"/>
    <x v="0"/>
    <x v="2"/>
    <s v="Yes"/>
    <x v="0"/>
    <s v="Yes"/>
    <x v="0"/>
    <n v="7"/>
    <n v="58"/>
  </r>
  <r>
    <x v="246"/>
    <x v="235"/>
    <x v="2"/>
    <d v="2024-10-29T00:00:00"/>
    <x v="1"/>
    <x v="2"/>
    <x v="0"/>
    <s v="No"/>
    <x v="1"/>
    <s v="Yes"/>
    <x v="0"/>
    <n v="10"/>
    <n v="20"/>
  </r>
  <r>
    <x v="247"/>
    <x v="236"/>
    <x v="1"/>
    <d v="2024-10-30T00:00:00"/>
    <x v="0"/>
    <x v="1"/>
    <x v="1"/>
    <s v="No"/>
    <x v="1"/>
    <s v="No"/>
    <x v="1"/>
    <n v="0"/>
    <n v="5"/>
  </r>
  <r>
    <x v="248"/>
    <x v="237"/>
    <x v="0"/>
    <d v="2024-10-31T00:00:00"/>
    <x v="1"/>
    <x v="0"/>
    <x v="0"/>
    <s v="Yes"/>
    <x v="0"/>
    <s v="Yes"/>
    <x v="0"/>
    <n v="20"/>
    <n v="45"/>
  </r>
  <r>
    <x v="249"/>
    <x v="238"/>
    <x v="2"/>
    <d v="2024-11-01T00:00:00"/>
    <x v="0"/>
    <x v="2"/>
    <x v="2"/>
    <s v="No"/>
    <x v="1"/>
    <s v="Yes"/>
    <x v="0"/>
    <n v="15"/>
    <n v="15"/>
  </r>
  <r>
    <x v="250"/>
    <x v="239"/>
    <x v="1"/>
    <d v="2024-11-02T00:00:00"/>
    <x v="1"/>
    <x v="1"/>
    <x v="0"/>
    <s v="No"/>
    <x v="1"/>
    <s v="No"/>
    <x v="1"/>
    <n v="1"/>
    <n v="4"/>
  </r>
  <r>
    <x v="251"/>
    <x v="240"/>
    <x v="0"/>
    <d v="2024-11-03T00:00:00"/>
    <x v="0"/>
    <x v="0"/>
    <x v="1"/>
    <s v="Yes"/>
    <x v="0"/>
    <s v="Yes"/>
    <x v="0"/>
    <n v="3"/>
    <n v="62"/>
  </r>
  <r>
    <x v="252"/>
    <x v="241"/>
    <x v="2"/>
    <d v="2024-11-04T00:00:00"/>
    <x v="1"/>
    <x v="2"/>
    <x v="0"/>
    <s v="No"/>
    <x v="1"/>
    <s v="Yes"/>
    <x v="0"/>
    <n v="10"/>
    <n v="20"/>
  </r>
  <r>
    <x v="253"/>
    <x v="242"/>
    <x v="1"/>
    <d v="2024-11-05T00:00:00"/>
    <x v="0"/>
    <x v="1"/>
    <x v="2"/>
    <s v="No"/>
    <x v="1"/>
    <s v="No"/>
    <x v="1"/>
    <n v="0"/>
    <n v="5"/>
  </r>
  <r>
    <x v="254"/>
    <x v="243"/>
    <x v="0"/>
    <d v="2024-11-06T00:00:00"/>
    <x v="1"/>
    <x v="0"/>
    <x v="0"/>
    <s v="Yes"/>
    <x v="0"/>
    <s v="Yes"/>
    <x v="0"/>
    <n v="15"/>
    <n v="50"/>
  </r>
  <r>
    <x v="255"/>
    <x v="244"/>
    <x v="1"/>
    <d v="2024-11-07T00:00:00"/>
    <x v="0"/>
    <x v="1"/>
    <x v="0"/>
    <s v="No"/>
    <x v="1"/>
    <s v="No"/>
    <x v="1"/>
    <n v="0"/>
    <n v="5"/>
  </r>
  <r>
    <x v="256"/>
    <x v="245"/>
    <x v="0"/>
    <d v="2024-11-08T00:00:00"/>
    <x v="1"/>
    <x v="0"/>
    <x v="2"/>
    <s v="Yes"/>
    <x v="0"/>
    <s v="Yes"/>
    <x v="0"/>
    <n v="7"/>
    <n v="58"/>
  </r>
  <r>
    <x v="257"/>
    <x v="246"/>
    <x v="2"/>
    <d v="2024-11-09T00:00:00"/>
    <x v="0"/>
    <x v="2"/>
    <x v="1"/>
    <s v="No"/>
    <x v="1"/>
    <s v="Yes"/>
    <x v="0"/>
    <n v="10"/>
    <n v="20"/>
  </r>
  <r>
    <x v="258"/>
    <x v="247"/>
    <x v="1"/>
    <d v="2024-11-10T00:00:00"/>
    <x v="1"/>
    <x v="1"/>
    <x v="2"/>
    <s v="No"/>
    <x v="1"/>
    <s v="No"/>
    <x v="1"/>
    <n v="1"/>
    <n v="4"/>
  </r>
  <r>
    <x v="259"/>
    <x v="248"/>
    <x v="0"/>
    <d v="2024-11-11T00:00:00"/>
    <x v="0"/>
    <x v="0"/>
    <x v="0"/>
    <s v="Yes"/>
    <x v="0"/>
    <s v="Yes"/>
    <x v="0"/>
    <n v="15"/>
    <n v="50"/>
  </r>
  <r>
    <x v="260"/>
    <x v="249"/>
    <x v="2"/>
    <d v="2024-11-12T00:00:00"/>
    <x v="1"/>
    <x v="2"/>
    <x v="0"/>
    <s v="No"/>
    <x v="1"/>
    <s v="Yes"/>
    <x v="0"/>
    <n v="5"/>
    <n v="25"/>
  </r>
  <r>
    <x v="261"/>
    <x v="250"/>
    <x v="1"/>
    <d v="2024-11-13T00:00:00"/>
    <x v="0"/>
    <x v="1"/>
    <x v="1"/>
    <s v="No"/>
    <x v="1"/>
    <s v="No"/>
    <x v="1"/>
    <n v="0"/>
    <n v="5"/>
  </r>
  <r>
    <x v="262"/>
    <x v="251"/>
    <x v="0"/>
    <d v="2024-11-14T00:00:00"/>
    <x v="1"/>
    <x v="0"/>
    <x v="2"/>
    <s v="Yes"/>
    <x v="0"/>
    <s v="Yes"/>
    <x v="0"/>
    <n v="20"/>
    <n v="45"/>
  </r>
  <r>
    <x v="263"/>
    <x v="252"/>
    <x v="2"/>
    <d v="2024-11-15T00:00:00"/>
    <x v="0"/>
    <x v="2"/>
    <x v="2"/>
    <s v="No"/>
    <x v="1"/>
    <s v="Yes"/>
    <x v="0"/>
    <n v="12"/>
    <n v="18"/>
  </r>
  <r>
    <x v="264"/>
    <x v="253"/>
    <x v="1"/>
    <d v="2024-11-16T00:00:00"/>
    <x v="1"/>
    <x v="1"/>
    <x v="0"/>
    <s v="No"/>
    <x v="1"/>
    <s v="No"/>
    <x v="1"/>
    <n v="2"/>
    <n v="3"/>
  </r>
  <r>
    <x v="265"/>
    <x v="254"/>
    <x v="0"/>
    <d v="2024-11-17T00:00:00"/>
    <x v="0"/>
    <x v="0"/>
    <x v="1"/>
    <s v="Yes"/>
    <x v="0"/>
    <s v="Yes"/>
    <x v="0"/>
    <n v="5"/>
    <n v="60"/>
  </r>
  <r>
    <x v="266"/>
    <x v="255"/>
    <x v="2"/>
    <d v="2024-11-18T00:00:00"/>
    <x v="1"/>
    <x v="2"/>
    <x v="0"/>
    <s v="No"/>
    <x v="1"/>
    <s v="Yes"/>
    <x v="0"/>
    <n v="10"/>
    <n v="20"/>
  </r>
  <r>
    <x v="267"/>
    <x v="256"/>
    <x v="1"/>
    <d v="2024-11-19T00:00:00"/>
    <x v="0"/>
    <x v="1"/>
    <x v="2"/>
    <s v="No"/>
    <x v="1"/>
    <s v="No"/>
    <x v="1"/>
    <n v="0"/>
    <n v="5"/>
  </r>
  <r>
    <x v="268"/>
    <x v="257"/>
    <x v="0"/>
    <d v="2024-11-20T00:00:00"/>
    <x v="1"/>
    <x v="0"/>
    <x v="0"/>
    <s v="Yes"/>
    <x v="0"/>
    <s v="Yes"/>
    <x v="0"/>
    <n v="3"/>
    <n v="62"/>
  </r>
  <r>
    <x v="269"/>
    <x v="258"/>
    <x v="2"/>
    <d v="2024-11-21T00:00:00"/>
    <x v="0"/>
    <x v="2"/>
    <x v="1"/>
    <s v="No"/>
    <x v="1"/>
    <s v="Yes"/>
    <x v="0"/>
    <n v="15"/>
    <n v="15"/>
  </r>
  <r>
    <x v="270"/>
    <x v="259"/>
    <x v="1"/>
    <d v="2024-11-22T00:00:00"/>
    <x v="1"/>
    <x v="1"/>
    <x v="0"/>
    <s v="No"/>
    <x v="1"/>
    <s v="No"/>
    <x v="1"/>
    <n v="1"/>
    <n v="4"/>
  </r>
  <r>
    <x v="271"/>
    <x v="260"/>
    <x v="0"/>
    <d v="2024-11-23T00:00:00"/>
    <x v="0"/>
    <x v="0"/>
    <x v="2"/>
    <s v="Yes"/>
    <x v="0"/>
    <s v="Yes"/>
    <x v="0"/>
    <n v="7"/>
    <n v="58"/>
  </r>
  <r>
    <x v="272"/>
    <x v="119"/>
    <x v="2"/>
    <d v="2024-11-24T00:00:00"/>
    <x v="1"/>
    <x v="2"/>
    <x v="0"/>
    <s v="No"/>
    <x v="1"/>
    <s v="Yes"/>
    <x v="0"/>
    <n v="10"/>
    <n v="20"/>
  </r>
  <r>
    <x v="273"/>
    <x v="261"/>
    <x v="1"/>
    <d v="2024-11-25T00:00:00"/>
    <x v="0"/>
    <x v="1"/>
    <x v="1"/>
    <s v="No"/>
    <x v="1"/>
    <s v="No"/>
    <x v="1"/>
    <n v="0"/>
    <n v="5"/>
  </r>
  <r>
    <x v="274"/>
    <x v="262"/>
    <x v="0"/>
    <d v="2024-11-26T00:00:00"/>
    <x v="1"/>
    <x v="0"/>
    <x v="0"/>
    <s v="Yes"/>
    <x v="0"/>
    <s v="Yes"/>
    <x v="0"/>
    <n v="20"/>
    <n v="45"/>
  </r>
  <r>
    <x v="275"/>
    <x v="263"/>
    <x v="2"/>
    <d v="2024-11-27T00:00:00"/>
    <x v="0"/>
    <x v="2"/>
    <x v="2"/>
    <s v="No"/>
    <x v="1"/>
    <s v="Yes"/>
    <x v="0"/>
    <n v="15"/>
    <n v="15"/>
  </r>
  <r>
    <x v="276"/>
    <x v="264"/>
    <x v="1"/>
    <d v="2024-11-28T00:00:00"/>
    <x v="1"/>
    <x v="1"/>
    <x v="0"/>
    <s v="No"/>
    <x v="1"/>
    <s v="No"/>
    <x v="1"/>
    <n v="1"/>
    <n v="4"/>
  </r>
  <r>
    <x v="277"/>
    <x v="265"/>
    <x v="0"/>
    <d v="2024-11-29T00:00:00"/>
    <x v="0"/>
    <x v="0"/>
    <x v="1"/>
    <s v="Yes"/>
    <x v="0"/>
    <s v="Yes"/>
    <x v="0"/>
    <n v="3"/>
    <n v="62"/>
  </r>
  <r>
    <x v="278"/>
    <x v="266"/>
    <x v="2"/>
    <d v="2024-11-30T00:00:00"/>
    <x v="1"/>
    <x v="2"/>
    <x v="0"/>
    <s v="No"/>
    <x v="1"/>
    <s v="Yes"/>
    <x v="0"/>
    <n v="10"/>
    <n v="20"/>
  </r>
  <r>
    <x v="279"/>
    <x v="267"/>
    <x v="1"/>
    <d v="2024-12-01T00:00:00"/>
    <x v="0"/>
    <x v="1"/>
    <x v="2"/>
    <s v="No"/>
    <x v="1"/>
    <s v="No"/>
    <x v="1"/>
    <n v="0"/>
    <n v="5"/>
  </r>
  <r>
    <x v="280"/>
    <x v="268"/>
    <x v="0"/>
    <d v="2024-12-02T00:00:00"/>
    <x v="1"/>
    <x v="0"/>
    <x v="0"/>
    <s v="Yes"/>
    <x v="0"/>
    <s v="Yes"/>
    <x v="0"/>
    <n v="15"/>
    <n v="50"/>
  </r>
  <r>
    <x v="281"/>
    <x v="269"/>
    <x v="2"/>
    <d v="2024-12-03T00:00:00"/>
    <x v="0"/>
    <x v="2"/>
    <x v="1"/>
    <s v="No"/>
    <x v="1"/>
    <s v="Yes"/>
    <x v="0"/>
    <n v="15"/>
    <n v="15"/>
  </r>
  <r>
    <x v="282"/>
    <x v="270"/>
    <x v="1"/>
    <d v="2024-12-04T00:00:00"/>
    <x v="1"/>
    <x v="1"/>
    <x v="0"/>
    <s v="No"/>
    <x v="1"/>
    <s v="No"/>
    <x v="1"/>
    <n v="1"/>
    <n v="4"/>
  </r>
  <r>
    <x v="283"/>
    <x v="271"/>
    <x v="0"/>
    <d v="2024-12-05T00:00:00"/>
    <x v="0"/>
    <x v="0"/>
    <x v="2"/>
    <s v="Yes"/>
    <x v="0"/>
    <s v="Yes"/>
    <x v="0"/>
    <n v="7"/>
    <n v="58"/>
  </r>
  <r>
    <x v="284"/>
    <x v="130"/>
    <x v="2"/>
    <d v="2024-12-06T00:00:00"/>
    <x v="1"/>
    <x v="2"/>
    <x v="0"/>
    <s v="No"/>
    <x v="1"/>
    <s v="Yes"/>
    <x v="0"/>
    <n v="10"/>
    <n v="20"/>
  </r>
  <r>
    <x v="285"/>
    <x v="131"/>
    <x v="1"/>
    <d v="2024-12-07T00:00:00"/>
    <x v="0"/>
    <x v="1"/>
    <x v="1"/>
    <s v="No"/>
    <x v="1"/>
    <s v="No"/>
    <x v="1"/>
    <n v="0"/>
    <n v="5"/>
  </r>
  <r>
    <x v="286"/>
    <x v="181"/>
    <x v="0"/>
    <d v="2024-12-08T00:00:00"/>
    <x v="1"/>
    <x v="0"/>
    <x v="0"/>
    <s v="Yes"/>
    <x v="0"/>
    <s v="Yes"/>
    <x v="0"/>
    <n v="20"/>
    <n v="45"/>
  </r>
  <r>
    <x v="287"/>
    <x v="272"/>
    <x v="2"/>
    <d v="2024-12-09T00:00:00"/>
    <x v="0"/>
    <x v="2"/>
    <x v="2"/>
    <s v="No"/>
    <x v="1"/>
    <s v="Yes"/>
    <x v="0"/>
    <n v="12"/>
    <n v="18"/>
  </r>
  <r>
    <x v="288"/>
    <x v="273"/>
    <x v="1"/>
    <d v="2024-12-10T00:00:00"/>
    <x v="1"/>
    <x v="1"/>
    <x v="0"/>
    <s v="No"/>
    <x v="1"/>
    <s v="No"/>
    <x v="1"/>
    <n v="2"/>
    <n v="3"/>
  </r>
  <r>
    <x v="289"/>
    <x v="274"/>
    <x v="0"/>
    <d v="2024-12-11T00:00:00"/>
    <x v="0"/>
    <x v="0"/>
    <x v="1"/>
    <s v="Yes"/>
    <x v="0"/>
    <s v="Yes"/>
    <x v="0"/>
    <n v="5"/>
    <n v="60"/>
  </r>
  <r>
    <x v="290"/>
    <x v="275"/>
    <x v="2"/>
    <d v="2024-12-12T00:00:00"/>
    <x v="1"/>
    <x v="2"/>
    <x v="0"/>
    <s v="No"/>
    <x v="1"/>
    <s v="Yes"/>
    <x v="0"/>
    <n v="10"/>
    <n v="20"/>
  </r>
  <r>
    <x v="291"/>
    <x v="276"/>
    <x v="1"/>
    <d v="2024-12-13T00:00:00"/>
    <x v="0"/>
    <x v="1"/>
    <x v="2"/>
    <s v="No"/>
    <x v="1"/>
    <s v="No"/>
    <x v="1"/>
    <n v="0"/>
    <n v="5"/>
  </r>
  <r>
    <x v="292"/>
    <x v="277"/>
    <x v="0"/>
    <d v="2024-12-14T00:00:00"/>
    <x v="1"/>
    <x v="0"/>
    <x v="0"/>
    <s v="Yes"/>
    <x v="0"/>
    <s v="Yes"/>
    <x v="0"/>
    <n v="3"/>
    <n v="62"/>
  </r>
  <r>
    <x v="293"/>
    <x v="278"/>
    <x v="2"/>
    <d v="2024-12-15T00:00:00"/>
    <x v="0"/>
    <x v="2"/>
    <x v="1"/>
    <s v="No"/>
    <x v="1"/>
    <s v="Yes"/>
    <x v="0"/>
    <n v="15"/>
    <n v="15"/>
  </r>
  <r>
    <x v="294"/>
    <x v="279"/>
    <x v="1"/>
    <d v="2024-12-16T00:00:00"/>
    <x v="1"/>
    <x v="1"/>
    <x v="0"/>
    <s v="No"/>
    <x v="1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32684-9E76-4884-8E1A-86475DAC3A43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B30:D34" firstHeaderRow="0" firstDataRow="1" firstDataCol="1" rowPageCount="1" colPageCount="1"/>
  <pivotFields count="13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sd="0" x="0"/>
        <item sd="0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ntagem de Subscriber ID" fld="0" subtotal="count" baseField="2" baseItem="0"/>
    <dataField name="Soma de Total Value" fld="12" baseField="2" baseItem="0" numFmtId="44"/>
  </dataFields>
  <chartFormats count="1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C5C9A-4FC6-4E9E-BCED-1781683503B2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sd="0" x="0"/>
        <item sd="0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D9D7D-D8D6-4187-95A0-B532FFA89F36}" name="Tabela_ea_seasonpass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12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sd="0" x="0"/>
        <item sd="0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75660-9C6E-43FC-A732-BCDF5AE43703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4B2FE7D-D17C-4CE4-B3EC-44D993907DA1}" sourceName="Subscription Type">
  <pivotTables>
    <pivotTable tabId="3" name="Tabela dinâmica1"/>
    <pivotTable tabId="3" name="Tabela_ea_seasonpass"/>
    <pivotTable tabId="3" name="Tabela dinâmica3"/>
    <pivotTable tabId="3" name="Tabela dinâmica4"/>
  </pivotTables>
  <data>
    <tabular pivotCacheId="16678796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853E0087-DA1B-48F5-B45D-24A54A64B17B}" cache="SegmentaçãodeDados_Subscription_Type" caption="Subscription Type" style="subscriptions Typ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rojetoxbox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BF6A8"/>
      </a:accent1>
      <a:accent2>
        <a:srgbClr val="2AE6B1"/>
      </a:accent2>
      <a:accent3>
        <a:srgbClr val="22C55E"/>
      </a:accent3>
      <a:accent4>
        <a:srgbClr val="9BC848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4"/>
  <sheetViews>
    <sheetView showGridLines="0" topLeftCell="A23" workbookViewId="0">
      <selection activeCell="B28" sqref="B28:D34"/>
    </sheetView>
  </sheetViews>
  <sheetFormatPr defaultRowHeight="15" x14ac:dyDescent="0.25"/>
  <cols>
    <col min="2" max="2" width="18.42578125" bestFit="1" customWidth="1"/>
    <col min="3" max="3" width="26.140625" bestFit="1" customWidth="1"/>
    <col min="4" max="4" width="19.28515625" bestFit="1" customWidth="1"/>
    <col min="5" max="72" width="20.140625" bestFit="1" customWidth="1"/>
    <col min="73" max="73" width="10.7109375" bestFit="1" customWidth="1"/>
  </cols>
  <sheetData>
    <row r="2" spans="2:3" x14ac:dyDescent="0.25">
      <c r="B2" s="12" t="s">
        <v>16</v>
      </c>
      <c r="C2" t="s">
        <v>27</v>
      </c>
    </row>
    <row r="4" spans="2:3" x14ac:dyDescent="0.25">
      <c r="B4" s="12" t="s">
        <v>314</v>
      </c>
      <c r="C4" t="s">
        <v>315</v>
      </c>
    </row>
    <row r="5" spans="2:3" x14ac:dyDescent="0.25">
      <c r="B5" s="13" t="s">
        <v>23</v>
      </c>
      <c r="C5" s="14">
        <v>806</v>
      </c>
    </row>
    <row r="6" spans="2:3" x14ac:dyDescent="0.25">
      <c r="B6" s="13" t="s">
        <v>19</v>
      </c>
      <c r="C6" s="14">
        <v>1502</v>
      </c>
    </row>
    <row r="7" spans="2:3" x14ac:dyDescent="0.25">
      <c r="B7" s="13" t="s">
        <v>313</v>
      </c>
      <c r="C7" s="14">
        <v>2308</v>
      </c>
    </row>
    <row r="10" spans="2:3" x14ac:dyDescent="0.25">
      <c r="B10" s="12" t="s">
        <v>16</v>
      </c>
      <c r="C10" t="s">
        <v>27</v>
      </c>
    </row>
    <row r="12" spans="2:3" x14ac:dyDescent="0.25">
      <c r="B12" s="12" t="s">
        <v>314</v>
      </c>
      <c r="C12" t="s">
        <v>317</v>
      </c>
    </row>
    <row r="13" spans="2:3" x14ac:dyDescent="0.25">
      <c r="B13" s="13" t="s">
        <v>22</v>
      </c>
      <c r="C13" s="15">
        <v>0</v>
      </c>
    </row>
    <row r="14" spans="2:3" x14ac:dyDescent="0.25">
      <c r="B14" s="13" t="s">
        <v>26</v>
      </c>
      <c r="C14" s="15">
        <v>0</v>
      </c>
    </row>
    <row r="15" spans="2:3" x14ac:dyDescent="0.25">
      <c r="B15" s="13" t="s">
        <v>18</v>
      </c>
      <c r="C15" s="15">
        <v>990</v>
      </c>
    </row>
    <row r="16" spans="2:3" x14ac:dyDescent="0.25">
      <c r="B16" s="13" t="s">
        <v>313</v>
      </c>
      <c r="C16" s="15">
        <v>990</v>
      </c>
    </row>
    <row r="17" spans="2:5" x14ac:dyDescent="0.25">
      <c r="E17" s="16">
        <f>GETPIVOTDATA("EA Play Season Pass
Price",$B$12)</f>
        <v>990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314</v>
      </c>
      <c r="C21" t="s">
        <v>318</v>
      </c>
    </row>
    <row r="22" spans="2:5" x14ac:dyDescent="0.25">
      <c r="B22" s="13" t="s">
        <v>22</v>
      </c>
      <c r="C22" s="14">
        <v>0</v>
      </c>
    </row>
    <row r="23" spans="2:5" x14ac:dyDescent="0.25">
      <c r="B23" s="13" t="s">
        <v>26</v>
      </c>
      <c r="C23" s="14">
        <v>480</v>
      </c>
    </row>
    <row r="24" spans="2:5" x14ac:dyDescent="0.25">
      <c r="B24" s="13" t="s">
        <v>18</v>
      </c>
      <c r="C24" s="14">
        <v>660</v>
      </c>
    </row>
    <row r="25" spans="2:5" x14ac:dyDescent="0.25">
      <c r="B25" s="13" t="s">
        <v>313</v>
      </c>
      <c r="C25" s="14">
        <v>1140</v>
      </c>
    </row>
    <row r="27" spans="2:5" x14ac:dyDescent="0.25">
      <c r="E27" s="16">
        <f>GETPIVOTDATA("Minecraft Season Pass Price",$B$21)</f>
        <v>1140</v>
      </c>
    </row>
    <row r="28" spans="2:5" x14ac:dyDescent="0.25">
      <c r="B28" s="12" t="s">
        <v>16</v>
      </c>
      <c r="C28" t="s">
        <v>27</v>
      </c>
    </row>
    <row r="30" spans="2:5" x14ac:dyDescent="0.25">
      <c r="B30" s="12" t="s">
        <v>314</v>
      </c>
      <c r="C30" t="s">
        <v>321</v>
      </c>
      <c r="D30" t="s">
        <v>315</v>
      </c>
    </row>
    <row r="31" spans="2:5" x14ac:dyDescent="0.25">
      <c r="B31" s="13" t="s">
        <v>22</v>
      </c>
      <c r="C31" s="15">
        <v>28</v>
      </c>
      <c r="D31" s="14">
        <v>132</v>
      </c>
    </row>
    <row r="32" spans="2:5" x14ac:dyDescent="0.25">
      <c r="B32" s="13" t="s">
        <v>26</v>
      </c>
      <c r="C32" s="15">
        <v>24</v>
      </c>
      <c r="D32" s="14">
        <v>395</v>
      </c>
    </row>
    <row r="33" spans="2:4" x14ac:dyDescent="0.25">
      <c r="B33" s="13" t="s">
        <v>18</v>
      </c>
      <c r="C33" s="15">
        <v>33</v>
      </c>
      <c r="D33" s="14">
        <v>1781</v>
      </c>
    </row>
    <row r="34" spans="2:4" x14ac:dyDescent="0.25">
      <c r="B34" s="13" t="s">
        <v>313</v>
      </c>
      <c r="C34" s="15">
        <v>85</v>
      </c>
      <c r="D34" s="14">
        <v>2308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AX230"/>
  <sheetViews>
    <sheetView showGridLines="0" tabSelected="1" zoomScale="80" zoomScaleNormal="80" workbookViewId="0">
      <selection activeCell="V21" sqref="V21"/>
    </sheetView>
  </sheetViews>
  <sheetFormatPr defaultRowHeight="15" x14ac:dyDescent="0.25"/>
  <cols>
    <col min="1" max="1" width="26.7109375" style="5" customWidth="1"/>
    <col min="2" max="2" width="7.28515625" customWidth="1"/>
    <col min="12" max="12" width="6.5703125" customWidth="1"/>
  </cols>
  <sheetData>
    <row r="3" spans="1:50" ht="33" customHeight="1" thickBot="1" x14ac:dyDescent="0.35">
      <c r="B3" s="20" t="s">
        <v>316</v>
      </c>
      <c r="C3" s="20"/>
      <c r="D3" s="20"/>
      <c r="E3" s="20"/>
      <c r="F3" s="20"/>
      <c r="G3" s="20"/>
      <c r="H3" s="17"/>
      <c r="I3" s="17"/>
      <c r="J3" s="17"/>
      <c r="K3" s="18"/>
      <c r="L3" s="18"/>
      <c r="M3" s="18"/>
      <c r="N3" s="18"/>
      <c r="O3" s="18"/>
      <c r="P3" s="18"/>
      <c r="Q3" s="18"/>
      <c r="R3" s="18"/>
    </row>
    <row r="4" spans="1:50" ht="33" customHeight="1" thickTop="1" x14ac:dyDescent="0.25"/>
    <row r="5" spans="1:50" ht="20.25" x14ac:dyDescent="0.35">
      <c r="A5" s="19" t="s">
        <v>319</v>
      </c>
      <c r="B5" s="7"/>
      <c r="C5" s="21" t="s">
        <v>320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2:50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2:50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2:50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2:50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2:50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2:50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2:50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2:50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2:50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2:50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2:50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2:50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2:50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2:50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2:50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2:50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2:50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2:50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2:50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2:50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2:50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2:50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2:50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2:50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2:50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2:50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2:50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2:50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2:50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2:50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2:50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2:50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2:50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2:50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2:50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2:50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2:50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2:50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2:50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2:50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2:50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2:50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2:50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2:50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2:50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2:50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2:50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2:50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2:50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2:50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2:50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2:50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2:50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2:50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2:50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2:50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2:50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2:50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2:50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2:50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2:50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2:50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2:50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2:50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2:50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2:50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2:50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2:50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2:50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2:50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2:50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2:50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2:50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2:50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2:50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2:50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2:50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2:50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2:50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2:50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2:50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2:50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2:50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2:50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2:50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2:50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2:50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2:50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2:50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2:50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2:50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2:50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2:50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2:50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2:50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2:50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2:50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2:50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2:50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2:50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2:50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2:50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2:50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2:50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2:50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2:50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2:50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2:50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2:50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2:50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2:50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2:50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2:50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2:50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2:50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2:50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2:50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2:50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2:50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2:50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2:50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2:50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2:50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2:50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2:50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2:50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2:50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2:50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2:50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2:50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2:50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2:50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2:50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2:50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2:50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2:50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2:50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2:50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2:50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2:50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2:50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2:50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2:50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2:50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2:50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2:50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2:50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2:50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2:50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2:50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2:50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2:50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2:50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2:50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2:50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2:50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2:50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2:50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2:50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2:50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2:50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2:50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2:50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2:50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2:50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2:50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2:50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2:50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2:50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2:50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2:50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2:50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2:50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2:50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2:50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2:50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2:50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2:50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2:50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2:50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2:50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2:50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2:50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2:50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2:50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2:50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2:50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2:50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2:50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2:50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2:50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2:50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2:50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2:50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2:50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2:50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2:50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2:50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2:50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2:50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2:50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2:50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2:50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2:50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2:50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2:50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2:50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2:50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2:50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2:50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2:50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2:50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2:50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2:50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</sheetData>
  <mergeCells count="1">
    <mergeCell ref="B3:G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edvan figueiredo</cp:lastModifiedBy>
  <dcterms:created xsi:type="dcterms:W3CDTF">2024-12-19T13:13:10Z</dcterms:created>
  <dcterms:modified xsi:type="dcterms:W3CDTF">2026-10-16T17:37:59Z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